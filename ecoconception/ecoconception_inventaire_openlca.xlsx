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_blocs" sheetId="1" r:id="rId5"/>
    <sheet state="visible" name="Inventaire" sheetId="2" r:id="rId6"/>
    <sheet state="visible" name="Synthese_blocs" sheetId="3" r:id="rId7"/>
    <sheet state="visible" name="BOM_brute" sheetId="4" r:id="rId8"/>
    <sheet state="visible" name="V2" sheetId="5" r:id="rId9"/>
    <sheet state="visible" name="OpenLCA_inputs" sheetId="6" r:id="rId10"/>
  </sheets>
  <definedNames/>
  <calcPr/>
</workbook>
</file>

<file path=xl/sharedStrings.xml><?xml version="1.0" encoding="utf-8"?>
<sst xmlns="http://schemas.openxmlformats.org/spreadsheetml/2006/main" count="1366" uniqueCount="390">
  <si>
    <t>Projet</t>
  </si>
  <si>
    <t>Carte électronique instrumentée avec alimentation, mesure et communication autour d’un ESP-WROOM-03.</t>
  </si>
  <si>
    <t>Hypothèse de description</t>
  </si>
  <si>
    <t>Supervision d’un système basse tension avec INA219, 4x DS18B20, module ESP et étages de commutation/protection.</t>
  </si>
  <si>
    <t>Source utilisée</t>
  </si>
  <si>
    <t>Nomenclature exportée du schéma Eagle fourni.</t>
  </si>
  <si>
    <t>Carte(s) identifiée(s)</t>
  </si>
  <si>
    <t>1 carte principale structurée en plusieurs blocs fonctionnels.</t>
  </si>
  <si>
    <t>Point d’attention</t>
  </si>
  <si>
    <t>Remplacer les traductions ecoinvent candidates par les libellés exacts du cours.</t>
  </si>
  <si>
    <t>Bloc fonctionnel</t>
  </si>
  <si>
    <t>Nombre de composants</t>
  </si>
  <si>
    <t>Alimentation / protection</t>
  </si>
  <si>
    <t>Capteurs de température</t>
  </si>
  <si>
    <t>Commande / communication</t>
  </si>
  <si>
    <t>Commutation / adaptation</t>
  </si>
  <si>
    <t>Connectique de sortie</t>
  </si>
  <si>
    <t>Mesure courant / tension</t>
  </si>
  <si>
    <t>Passifs / filtrage</t>
  </si>
  <si>
    <t>Passifs / polarisation</t>
  </si>
  <si>
    <t>Feuille ajoutée</t>
  </si>
  <si>
    <t>OpenLCA_inputs</t>
  </si>
  <si>
    <t>But</t>
  </si>
  <si>
    <t>Regrouper les composants similaires pour réduire le nombre d'inputs OpenLCA</t>
  </si>
  <si>
    <t>Colonnes clés</t>
  </si>
  <si>
    <t>Qté + masse unitaire (kg) + Amount (kg)</t>
  </si>
  <si>
    <t>Ajouts manuels</t>
  </si>
  <si>
    <t>ESP32, panneau solaire, moteur rotatif, support 3D</t>
  </si>
  <si>
    <t>Carte</t>
  </si>
  <si>
    <t>RefDes</t>
  </si>
  <si>
    <t>Qté</t>
  </si>
  <si>
    <t>Composant / valeur</t>
  </si>
  <si>
    <t>Boîtier</t>
  </si>
  <si>
    <t>Catégorie ACV</t>
  </si>
  <si>
    <t>Fonction supposée</t>
  </si>
  <si>
    <t>Traduction ecoinvent candidate</t>
  </si>
  <si>
    <t>Niveau de confiance</t>
  </si>
  <si>
    <t>Remarques</t>
  </si>
  <si>
    <t>Carte principale</t>
  </si>
  <si>
    <t>C1</t>
  </si>
  <si>
    <t>100n</t>
  </si>
  <si>
    <t>C0805</t>
  </si>
  <si>
    <t>Condensateur céramique CMS</t>
  </si>
  <si>
    <t>Découplage / filtrage local</t>
  </si>
  <si>
    <t>Capacitor, for surface mounting, ceramic (candidate)</t>
  </si>
  <si>
    <t>Moyen</t>
  </si>
  <si>
    <t>Passif générique</t>
  </si>
  <si>
    <t>C2</t>
  </si>
  <si>
    <t>47u</t>
  </si>
  <si>
    <t>C3</t>
  </si>
  <si>
    <t>C5</t>
  </si>
  <si>
    <t>0.1µ</t>
  </si>
  <si>
    <t>C6</t>
  </si>
  <si>
    <t>C7</t>
  </si>
  <si>
    <t>C8</t>
  </si>
  <si>
    <t>10u</t>
  </si>
  <si>
    <t>C9</t>
  </si>
  <si>
    <t>CAPAE1600X1700N</t>
  </si>
  <si>
    <t>Condensateur électrolytique</t>
  </si>
  <si>
    <t>Stockage d'énergie / filtrage</t>
  </si>
  <si>
    <t>Capacitor, aluminium electrolytic, mounted (candidate)</t>
  </si>
  <si>
    <t>DOWNLOAD</t>
  </si>
  <si>
    <t>1X06S</t>
  </si>
  <si>
    <t>Connecteur</t>
  </si>
  <si>
    <t>Interconnexion</t>
  </si>
  <si>
    <t>Connector / terminal block for PCB (candidate)</t>
  </si>
  <si>
    <t>Bon</t>
  </si>
  <si>
    <t>MPN identifié</t>
  </si>
  <si>
    <t>G1</t>
  </si>
  <si>
    <t>TLS850B0TE_V33</t>
  </si>
  <si>
    <t>TO114P998X250-6_5N-1</t>
  </si>
  <si>
    <t>Régulateur linéaire 3,3 V</t>
  </si>
  <si>
    <t>Régulation de tension</t>
  </si>
  <si>
    <t>Integrated circuit, voltage regulator (candidate)</t>
  </si>
  <si>
    <t>J1</t>
  </si>
  <si>
    <t>282857-2</t>
  </si>
  <si>
    <t>TE_282857-2</t>
  </si>
  <si>
    <t>Vérifier sur schéma</t>
  </si>
  <si>
    <t>J2</t>
  </si>
  <si>
    <t>J3</t>
  </si>
  <si>
    <t>J4</t>
  </si>
  <si>
    <t>J5</t>
  </si>
  <si>
    <t>282834-3</t>
  </si>
  <si>
    <t>TE_282834-3</t>
  </si>
  <si>
    <t>J6</t>
  </si>
  <si>
    <t>XT60PW-M</t>
  </si>
  <si>
    <t>AMASS_XT60PW-M</t>
  </si>
  <si>
    <t>PROG</t>
  </si>
  <si>
    <t>B3U-1000PB</t>
  </si>
  <si>
    <t>SW_B3U-1000PB</t>
  </si>
  <si>
    <t>Bouton poussoir tactile</t>
  </si>
  <si>
    <t>Interface utilisateur / programmation</t>
  </si>
  <si>
    <t>Switch, tactile, surface mounted (candidate)</t>
  </si>
  <si>
    <t>Q1</t>
  </si>
  <si>
    <t>FQB22P10TM</t>
  </si>
  <si>
    <t>MOSFET de puissance</t>
  </si>
  <si>
    <t>Commutation de charge</t>
  </si>
  <si>
    <t>Transistor, MOSFET, power, mounted on board (candidate)</t>
  </si>
  <si>
    <t>Q2</t>
  </si>
  <si>
    <t>Q3</t>
  </si>
  <si>
    <t>AP331AWG-7</t>
  </si>
  <si>
    <t>SOT95P285X145-5N</t>
  </si>
  <si>
    <t>Comparateur</t>
  </si>
  <si>
    <t>Comparaison de seuil</t>
  </si>
  <si>
    <t>Integrated circuit, analog comparator (candidate)</t>
  </si>
  <si>
    <t>Q4</t>
  </si>
  <si>
    <t>BSS138</t>
  </si>
  <si>
    <t>SOT95P240X111-3N</t>
  </si>
  <si>
    <t>MOSFET petit signal</t>
  </si>
  <si>
    <t>Adaptation de niveau / commande</t>
  </si>
  <si>
    <t>Transistor, MOSFET, small signal, mounted (candidate)</t>
  </si>
  <si>
    <t>Q5</t>
  </si>
  <si>
    <t>R1</t>
  </si>
  <si>
    <t>100k</t>
  </si>
  <si>
    <t>R1206</t>
  </si>
  <si>
    <t>Résistance CMS</t>
  </si>
  <si>
    <t>Polarisation / pull-up / pont diviseur</t>
  </si>
  <si>
    <t>Resistor, chip resistor, surface mounted (candidate)</t>
  </si>
  <si>
    <t>R2</t>
  </si>
  <si>
    <t>R3</t>
  </si>
  <si>
    <t>33k</t>
  </si>
  <si>
    <t>R4</t>
  </si>
  <si>
    <t>4,7k</t>
  </si>
  <si>
    <t>R5</t>
  </si>
  <si>
    <t>R6</t>
  </si>
  <si>
    <t>3.3k</t>
  </si>
  <si>
    <t>R7</t>
  </si>
  <si>
    <t>R8</t>
  </si>
  <si>
    <t>R9</t>
  </si>
  <si>
    <t>R10</t>
  </si>
  <si>
    <t>R11</t>
  </si>
  <si>
    <t>R12</t>
  </si>
  <si>
    <t>R13</t>
  </si>
  <si>
    <t>150k</t>
  </si>
  <si>
    <t>R14</t>
  </si>
  <si>
    <t>R15</t>
  </si>
  <si>
    <t>10k</t>
  </si>
  <si>
    <t>R16</t>
  </si>
  <si>
    <t>ERJ-P08J821V</t>
  </si>
  <si>
    <t>ERJP08_(1206)</t>
  </si>
  <si>
    <t>R17</t>
  </si>
  <si>
    <t>WSL2512R1000FEA</t>
  </si>
  <si>
    <t>RESC6432X89N</t>
  </si>
  <si>
    <t>Résistance shunt de puissance</t>
  </si>
  <si>
    <t>Mesure de courant</t>
  </si>
  <si>
    <t>Resistor, shunt / metal strip resistor (candidate)</t>
  </si>
  <si>
    <t>RST</t>
  </si>
  <si>
    <t>U1</t>
  </si>
  <si>
    <t>ESP-WROOM-03</t>
  </si>
  <si>
    <t>Module radio / microcontrôleur</t>
  </si>
  <si>
    <t>Pilotage + communication</t>
  </si>
  <si>
    <t>Mounted board / communication module with ICs (candidate)</t>
  </si>
  <si>
    <t>U2</t>
  </si>
  <si>
    <t>INA219AID</t>
  </si>
  <si>
    <t>SOIC127P599X175-8N</t>
  </si>
  <si>
    <t>Capteur de courant / tension</t>
  </si>
  <si>
    <t>Mesure électrique</t>
  </si>
  <si>
    <t>Integrated circuit, current sensor (candidate)</t>
  </si>
  <si>
    <t>U3</t>
  </si>
  <si>
    <t>DS18B20U+T&amp;R</t>
  </si>
  <si>
    <t>SOP65P490X110-8N</t>
  </si>
  <si>
    <t>Capteur de température numérique</t>
  </si>
  <si>
    <t>Mesure de température</t>
  </si>
  <si>
    <t>Integrated circuit, temperature sensor (candidate)</t>
  </si>
  <si>
    <t>U4</t>
  </si>
  <si>
    <t>U5</t>
  </si>
  <si>
    <t>U6</t>
  </si>
  <si>
    <t>Z1</t>
  </si>
  <si>
    <t>BZX84C6V8LT1G</t>
  </si>
  <si>
    <t>SOT96P237X111-3N</t>
  </si>
  <si>
    <t>Diode Zener</t>
  </si>
  <si>
    <t>Protection surtension</t>
  </si>
  <si>
    <t>Diode, protection / zener, mounted (candidate)</t>
  </si>
  <si>
    <t>Nombre</t>
  </si>
  <si>
    <t>Consignes</t>
  </si>
  <si>
    <t>Remplacer les intitulés candidats par les libellés exacts de vos documents de cours.</t>
  </si>
  <si>
    <t>Valider la répartition des passifs par bloc à partir du schéma.</t>
  </si>
  <si>
    <t>Ajouter une deuxième déclinaison pour la comparaison ACV finale.</t>
  </si>
  <si>
    <t>Part</t>
  </si>
  <si>
    <t>Value</t>
  </si>
  <si>
    <t>Device</t>
  </si>
  <si>
    <t>Package</t>
  </si>
  <si>
    <t>Description</t>
  </si>
  <si>
    <t>C</t>
  </si>
  <si>
    <t>CAPACITOR, European symbol</t>
  </si>
  <si>
    <t>WCAP-ASLI Aluminum Electrolytic Capacitors ASEK170102M050DVCTHE000; SMT V-Chip; 1000 F +/- 20%; 50 V (DC); 5000 h; - 55 C / +105 C; size DxL 16.0 x 17.0; Max. Iripple 1000 mA@ 100 kHz; LC 500 A; DF 12%;</t>
  </si>
  <si>
    <t>PINHD-1X6S</t>
  </si>
  <si>
    <t>PIN HEADER</t>
  </si>
  <si>
    <t>Switch Tactile N.O. SPST Round Button Gull Wing 0.05A 12VDC 1.5N SMD Embossed T/R</t>
  </si>
  <si>
    <t>175C maximum junction temperature rating; Low Crss ( Typ. 160pF); -22A, -100V, RDS(on) =125m(Max.) @VGS = -10 V, ID = -11A; Low gate charge ( Typ.40nC); 100% avalanche tested</t>
  </si>
  <si>
    <t>DiodesZetex AP331AWG-7 Comparator, Open Collector O/P, 1.3us 2 36 V 5-Pin SOT-25</t>
  </si>
  <si>
    <t>Check availability</t>
  </si>
  <si>
    <t>RR1206</t>
  </si>
  <si>
    <t>RESISTOR, European symbol</t>
  </si>
  <si>
    <t>Anti-Surge Thick Film Chip Resistor, 1206, 0.66W</t>
  </si>
  <si>
    <t>WSL2512 SMD Resistor,1W,1%,R100 Vishay WSL Series Metal Strip Low Ohmic Surface Mount Resistor 2512 Case 100m +/-1% 1W +/-75ppm/C</t>
  </si>
  <si>
    <t>250 mW Rating on FR-4 or FR-5 Board; Zener Breakdown Voltage Range - 2.4 V to 75 V; Package Designed for Optimal Automated Board Assembly; Small Package Size for High Density Applications; ESD Rating of Class 3 (&gt;16 KV) per Human Body Model; Mechanical Characteristics:; CASE: Void-free, transfer-molded, thermosetting plastic case; FINISH: Corrosion resistant finish, easily solderable; MAXIMUM CASE TEMPERATURE FOR SOLDERING PURPOSES: 260C for 10 Seconds; POLARITY: Cathode indicated by polarity band; FLAMMAB</t>
  </si>
  <si>
    <t>Origine</t>
  </si>
  <si>
    <t>Élément groupé</t>
  </si>
  <si>
    <t>Références groupées</t>
  </si>
  <si>
    <t>Masse unitaire (g)</t>
  </si>
  <si>
    <t>Amount (g)</t>
  </si>
  <si>
    <t>Unit</t>
  </si>
  <si>
    <t>Caractéristiques pour l'input</t>
  </si>
  <si>
    <t>Présence dans BOM</t>
  </si>
  <si>
    <t>Masse unitaire (g) copie</t>
  </si>
  <si>
    <t>Amount (g) copie</t>
  </si>
  <si>
    <t>Type de source masse</t>
  </si>
  <si>
    <t>Source(s) masse</t>
  </si>
  <si>
    <t>Fiabilité</t>
  </si>
  <si>
    <t>Note méthode</t>
  </si>
  <si>
    <t>BOM carte principale</t>
  </si>
  <si>
    <t>Condensateurs céramiques CMS C0805</t>
  </si>
  <si>
    <t>C1,C2,C3,C5,C6,C7,C8</t>
  </si>
  <si>
    <t>g</t>
  </si>
  <si>
    <t>Capaciteurs céramiques CMS, boîtier 0805, découplage/filtrage</t>
  </si>
  <si>
    <t>Oui</t>
  </si>
  <si>
    <t>Masse à compléter; regroupement volontaire pour réduire le nombre d'inputs</t>
  </si>
  <si>
    <t>source web générique 0805</t>
  </si>
  <si>
    <t>https://ifuturetech.org/product/0-1uf-0805-package/</t>
  </si>
  <si>
    <t>Moyenne</t>
  </si>
  <si>
    <t>Valeur générique de composant 0805; bonne base si vous gardez le regroupement</t>
  </si>
  <si>
    <t>Condensateur électrolytique CMS</t>
  </si>
  <si>
    <t>Condensateur aluminium électrolytique CMS, 16x17 mm env.</t>
  </si>
  <si>
    <t>Mouser unit weight exact</t>
  </si>
  <si>
    <t>https://www.mouser.com/ProductDetail/Wurth-Elektronik/865080663020</t>
  </si>
  <si>
    <t>Élevée</t>
  </si>
  <si>
    <t>Référence exacte 865080663020</t>
  </si>
  <si>
    <t>Résistances CMS 1206</t>
  </si>
  <si>
    <t>R1,R2,R3,R4,R5,R6,R7,R8,R9,R10,R11,R12,R13,R14,R15,R16</t>
  </si>
  <si>
    <t>Résistances chip 1206 standard/anti-surge</t>
  </si>
  <si>
    <t>Possibilité de séparer R16 si vous voulez une granularité plus fine</t>
  </si>
  <si>
    <t>datasheet 1206</t>
  </si>
  <si>
    <t>https://www.resistor.com/assets/pdf/1206std.pdf</t>
  </si>
  <si>
    <t>Valeur typique 1206; R16 anti-surge reste inclus dans le groupe</t>
  </si>
  <si>
    <t>Passifs / mesure</t>
  </si>
  <si>
    <t>Résistance shunt de puissance 2512</t>
  </si>
  <si>
    <t>Shunt métal faible ohm, boîtier 2512, 1 W</t>
  </si>
  <si>
    <t>Résistance shunt</t>
  </si>
  <si>
    <t>https://www.mouser.co.uk/ProductDetail/Vishay-Dale/WSL2512R1000FEA</t>
  </si>
  <si>
    <t>Référence exacte WSL2512R1000FEA</t>
  </si>
  <si>
    <t>Boutons poussoirs tactiles</t>
  </si>
  <si>
    <t>PROG,RST</t>
  </si>
  <si>
    <t>Interrupteurs tactiles CMS SPST</t>
  </si>
  <si>
    <t>Bouton / switch tactile</t>
  </si>
  <si>
    <t>RST a été reclassé ici</t>
  </si>
  <si>
    <t>https://www.mouser.com/ProductDetail/Omron-Electronics/B3U-1000P-B</t>
  </si>
  <si>
    <t>Alias B3U1000PB</t>
  </si>
  <si>
    <t>Connectique</t>
  </si>
  <si>
    <t>Connecteurs bornier 2 voies</t>
  </si>
  <si>
    <t>J1,J2,J3,J4</t>
  </si>
  <si>
    <t>Borniers PCB 2 positions</t>
  </si>
  <si>
    <t>https://www.mouser.com/ProductDetail/TE-Connectivity/1-282857-2</t>
  </si>
  <si>
    <t>Réf. proche/équivalente 1-282857-2 pour 282857-2</t>
  </si>
  <si>
    <t>Connecteur bornier 3 voies</t>
  </si>
  <si>
    <t>Bornier PCB 3 positions</t>
  </si>
  <si>
    <t>https://www.mouser.com/ProductDetail/TE-Connectivity/282834-3</t>
  </si>
  <si>
    <t>Référence exacte 282834-3</t>
  </si>
  <si>
    <t>Connecteur header 1x6</t>
  </si>
  <si>
    <t>Pin header 1x6</t>
  </si>
  <si>
    <t>Connector / pin header for PCB (candidate)</t>
  </si>
  <si>
    <t>source web distributeur</t>
  </si>
  <si>
    <t>https://digipurk.ee/en/product/pin-single-row-1x6-2-54-mm</t>
  </si>
  <si>
    <t>Faible</t>
  </si>
  <si>
    <t>Header générique 1x6; à remplacer si vous avez la réf. exacte</t>
  </si>
  <si>
    <t>Connectique / puissance</t>
  </si>
  <si>
    <t>Connecteur XT60</t>
  </si>
  <si>
    <t>Connecteur puissance XT60 montage PCB</t>
  </si>
  <si>
    <t>Connecteur puissance</t>
  </si>
  <si>
    <t>Connector, high-current, mounted on board (candidate)</t>
  </si>
  <si>
    <t>https://www.tme.eu/en/details/xt60pw-m/dc-power-connectors/amass/</t>
  </si>
  <si>
    <t>Poids brut affiché; bon ordre de grandeur</t>
  </si>
  <si>
    <t>Régulateur LDO 3.3 V boîtier SMD</t>
  </si>
  <si>
    <t>Circuit intégré - régulateur</t>
  </si>
  <si>
    <t>poids package</t>
  </si>
  <si>
    <t>https://www.infineon.com/assets/row/public/documents/10/49/infineon-tls850b0te-v33-datasheet-en.pdf | https://fscdn.rohm.com/en/techdata_basic/ic/package/Jisso_TO252-5-1-2_Rev004s_E2%28MSL1%29.pdf</t>
  </si>
  <si>
    <t>PG-TO252-5 confirmé par Infineon, masse prise sur package TO252-5</t>
  </si>
  <si>
    <t>Q1,Q2</t>
  </si>
  <si>
    <t>MOSFET puissance board-mounted</t>
  </si>
  <si>
    <t>Transistor MOSFET puissance</t>
  </si>
  <si>
    <t>https://www.mouser.com/ProductDetail/onsemi/FQB22P10TM</t>
  </si>
  <si>
    <t>Référence exacte FQB22P10TM</t>
  </si>
  <si>
    <t>Comparateur analogique</t>
  </si>
  <si>
    <t>Comparateur analogique SOT-25</t>
  </si>
  <si>
    <t>Circuit intégré analogique</t>
  </si>
  <si>
    <t>https://www.mouser.com/ProductDetail/Diodes-Incorporated/AP331AWG-7</t>
  </si>
  <si>
    <t>Référence exacte AP331AWG-7</t>
  </si>
  <si>
    <t>Q4,Q5</t>
  </si>
  <si>
    <t>MOSFET petits signaux SOT-23</t>
  </si>
  <si>
    <t>Transistor MOSFET petit signal</t>
  </si>
  <si>
    <t>datasheet / Mouser</t>
  </si>
  <si>
    <t>https://www.mouser.com/datasheet/2/115/ds30144-1164515.pdf</t>
  </si>
  <si>
    <t>Datasheet BSS138: 0.008 g approx</t>
  </si>
  <si>
    <t>Module ESP-WROOM-03</t>
  </si>
  <si>
    <t>Module radio + microcontrôleur monté</t>
  </si>
  <si>
    <t>Module de communication / MCU</t>
  </si>
  <si>
    <t>Présent dans la BOM fournie</t>
  </si>
  <si>
    <t>valeur fournie utilisateur / capture Excel</t>
  </si>
  <si>
    <t>https://maldives.desertcart.com/products/49543933-esp-wroom-32-esp32-wifi-bt-ble-module</t>
  </si>
  <si>
    <t>ESP-WROOM-03 historique, source exacte de masse non trouvée</t>
  </si>
  <si>
    <t>Ajout manuel</t>
  </si>
  <si>
    <t>ESP32-WROOM-32E Development Kit</t>
  </si>
  <si>
    <t>Carte de développement ESP32 avec module ESP32-WROOM-32E</t>
  </si>
  <si>
    <t>Mounted board / development kit with ICs (candidate)</t>
  </si>
  <si>
    <t>Non (ajout manuel)</t>
  </si>
  <si>
    <t>Remplace l'ancien module ESP32 ajouté manuellement</t>
  </si>
  <si>
    <t>https://eu.mouser.com/ProductDetail/Espressif-Systems/ESP32-DevKitC-32E</t>
  </si>
  <si>
    <t>Référence de carte de développement complète, pas module nu</t>
  </si>
  <si>
    <t>Capteur INA219</t>
  </si>
  <si>
    <t>Capteur courant/tension boîtier SOIC-8</t>
  </si>
  <si>
    <t>Circuit intégré de mesure</t>
  </si>
  <si>
    <t>https://www.mouser.com/ProductDetail/Texas-Instruments/INA219AID</t>
  </si>
  <si>
    <t>Référence exacte INA219AID</t>
  </si>
  <si>
    <t>Capteurs DS18B20</t>
  </si>
  <si>
    <t>U3,U4,U5,U6</t>
  </si>
  <si>
    <t>Capteurs de température numériques</t>
  </si>
  <si>
    <t>Capteur de température</t>
  </si>
  <si>
    <t>https://nz.mouser.com/ProductDetail/Analog-Devices-Maxim-Integrated/DS18B20%2BTR</t>
  </si>
  <si>
    <t>Série DS18B20, 200 mg unitaire</t>
  </si>
  <si>
    <t>Diode Zener SMD SOT-23</t>
  </si>
  <si>
    <t>Diode de protection</t>
  </si>
  <si>
    <t>https://eu.mouser.com/ProductDetail/onsemi/BZX84C6V8LT1G</t>
  </si>
  <si>
    <t>Référence exacte BZX84C6V8LT1G</t>
  </si>
  <si>
    <t>Système externe</t>
  </si>
  <si>
    <t>Panneau solaire</t>
  </si>
  <si>
    <t>Panneau solaire - masse fournie, technologie à préciser</t>
  </si>
  <si>
    <t>Sous-système énergie</t>
  </si>
  <si>
    <t>Photovoltaic panel / module (candidate)</t>
  </si>
  <si>
    <t>Valeur ajoutée depuis votre capture Excel</t>
  </si>
  <si>
    <t>N/A</t>
  </si>
  <si>
    <t>Impossible d'être précis sans référence exacte</t>
  </si>
  <si>
    <t>Actionnement</t>
  </si>
  <si>
    <t>ULN2003</t>
  </si>
  <si>
    <t>Driver ULN2003 pour petit moteur pas-à-pas</t>
  </si>
  <si>
    <t>Actionneur / moteur</t>
  </si>
  <si>
    <t>Integrated circuit, driver / actuator control (candidate)</t>
  </si>
  <si>
    <t>Non</t>
  </si>
  <si>
    <t>Ajout demandé depuis votre capture Excel</t>
  </si>
  <si>
    <t>Step motor 28BYJ-48</t>
  </si>
  <si>
    <t>Moteur pas-à-pas 28BYJ-48</t>
  </si>
  <si>
    <t>Electric motor, small / mounted assembly (candidate)</t>
  </si>
  <si>
    <t>Impossible d'être précis sans données matériau/masse</t>
  </si>
  <si>
    <t>Capteurs de lumière</t>
  </si>
  <si>
    <t>Photoresistor GL5506</t>
  </si>
  <si>
    <t>Photorésistances GL5506</t>
  </si>
  <si>
    <t>Capteur de lumière</t>
  </si>
  <si>
    <t>Light sensor / photoresistor (candidate)</t>
  </si>
  <si>
    <t>Mécanique</t>
  </si>
  <si>
    <t>Support 3D</t>
  </si>
  <si>
    <t>Pièce imprimée 3D - masse fournie ; matériau et remplissage à préciser</t>
  </si>
  <si>
    <t>Support mécanique</t>
  </si>
  <si>
    <t>Plastic part, 3D printed / thermoplastic part (candidate)</t>
  </si>
  <si>
    <t>Capteurs externes LM35</t>
  </si>
  <si>
    <t>Capteurs de température analogiques LM35</t>
  </si>
  <si>
    <t>Câbles</t>
  </si>
  <si>
    <t>PCB</t>
  </si>
  <si>
    <t>Total masse saisie (g)</t>
  </si>
  <si>
    <t>Notes d'utilisation OpenLCA</t>
  </si>
  <si>
    <t>Renseigner d'abord la masse unitaire de chaque ligne en kg ; la colonne Amount se calcule automatiquement.</t>
  </si>
  <si>
    <t>Conserver les lignes ajout manuel uniquement si elles font partie de la variante analysée.</t>
  </si>
  <si>
    <t>Les traductions ecoinvent sont des candidats à valider avec vos documents de cours.</t>
  </si>
  <si>
    <t xml:space="preserve">Amount </t>
  </si>
  <si>
    <t>0.002</t>
  </si>
  <si>
    <t>0.014</t>
  </si>
  <si>
    <t>0.01</t>
  </si>
  <si>
    <t>0.16</t>
  </si>
  <si>
    <t>0.1</t>
  </si>
  <si>
    <t>0.2</t>
  </si>
  <si>
    <t>0.4</t>
  </si>
  <si>
    <t>0.5</t>
  </si>
  <si>
    <t>0.05</t>
  </si>
  <si>
    <t>0.006</t>
  </si>
  <si>
    <t>0.0012</t>
  </si>
  <si>
    <t>ESP32</t>
  </si>
  <si>
    <t>Module ESP32 à renseigner précisément selon la référence finale</t>
  </si>
  <si>
    <t>À conserver seulement si votre variante finale utilise bien un ESP32</t>
  </si>
  <si>
    <t>Panneau solaire - préciser technologie, puissance, dimensions, masse</t>
  </si>
  <si>
    <t>Prévu pour comparaison ACV / système complet</t>
  </si>
  <si>
    <t>Non, pas encore</t>
  </si>
  <si>
    <t>allows low power devices to control heavier loads</t>
  </si>
  <si>
    <t>Moteur rotatif - préciser type, tension, puissance, masse</t>
  </si>
  <si>
    <t>Microcontrolleur</t>
  </si>
  <si>
    <t>mcu</t>
  </si>
  <si>
    <t>Pièce imprimée 3D - matériau, taux de remplissage, dimensions et masse à préciser</t>
  </si>
  <si>
    <t>À compléter avec tes données exactes plus tard</t>
  </si>
  <si>
    <t>Resistances Chauffantes</t>
  </si>
  <si>
    <t>Total masse saisie</t>
  </si>
  <si>
    <t>1</t>
  </si>
  <si>
    <t>2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</si>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</sst>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00000"/>
  </numFmts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color rgb="FF000000"/>
      <name val="Calibri"/>
      <scheme val="minor"/>
    </font>
    <font>
      <u/>
      <sz val="11.0"/>
      <color rgb="FF000000"/>
      <name val="Calibri"/>
    </font>
    <font>
      <color rgb="FF0F111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1" fillId="3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right" readingOrder="0" vertical="top"/>
    </xf>
    <xf borderId="0" fillId="0" fontId="2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vertical="top"/>
    </xf>
    <xf borderId="1" fillId="3" fontId="2" numFmtId="164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4" fontId="1" numFmtId="0" xfId="0" applyAlignment="1" applyBorder="1" applyFill="1" applyFont="1">
      <alignment readingOrder="0" vertical="top"/>
    </xf>
    <xf borderId="1" fillId="4" fontId="1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0" fillId="5" fontId="3" numFmtId="0" xfId="0" applyAlignment="1" applyFill="1" applyFont="1">
      <alignment horizontal="center" readingOrder="0" vertical="top"/>
    </xf>
    <xf borderId="0" fillId="5" fontId="4" numFmtId="0" xfId="0" applyFont="1"/>
    <xf borderId="0" fillId="5" fontId="2" numFmtId="0" xfId="0" applyAlignment="1" applyFont="1">
      <alignment readingOrder="0" vertical="top"/>
    </xf>
    <xf borderId="0" fillId="5" fontId="2" numFmtId="0" xfId="0" applyAlignment="1" applyFont="1">
      <alignment horizontal="center" readingOrder="0" vertical="top"/>
    </xf>
    <xf borderId="0" fillId="5" fontId="2" numFmtId="0" xfId="0" applyAlignment="1" applyFont="1">
      <alignment horizontal="right" readingOrder="0" vertical="top"/>
    </xf>
    <xf borderId="0" fillId="5" fontId="5" numFmtId="0" xfId="0" applyAlignment="1" applyFont="1">
      <alignment readingOrder="0" vertical="top"/>
    </xf>
    <xf borderId="0" fillId="5" fontId="2" numFmtId="0" xfId="0" applyAlignment="1" applyFont="1">
      <alignment vertical="top"/>
    </xf>
    <xf borderId="0" fillId="5" fontId="6" numFmtId="0" xfId="0" applyFont="1"/>
    <xf borderId="0" fillId="0" fontId="6" numFmtId="0" xfId="0" applyFont="1"/>
    <xf borderId="0" fillId="6" fontId="2" numFmtId="0" xfId="0" applyAlignment="1" applyFill="1" applyFont="1">
      <alignment readingOrder="0" vertical="top"/>
    </xf>
    <xf borderId="0" fillId="6" fontId="2" numFmtId="0" xfId="0" applyAlignment="1" applyFont="1">
      <alignment horizontal="center" readingOrder="0" vertical="top"/>
    </xf>
    <xf borderId="0" fillId="6" fontId="2" numFmtId="0" xfId="0" applyAlignment="1" applyFont="1">
      <alignment vertical="top"/>
    </xf>
    <xf borderId="0" fillId="6" fontId="2" numFmtId="0" xfId="0" applyAlignment="1" applyFont="1">
      <alignment horizontal="right" readingOrder="0" vertical="top"/>
    </xf>
    <xf borderId="0" fillId="6" fontId="7" numFmtId="0" xfId="0" applyAlignment="1" applyFont="1">
      <alignment readingOrder="0" vertical="top"/>
    </xf>
    <xf borderId="0" fillId="6" fontId="4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right" readingOrder="0" vertical="top"/>
    </xf>
    <xf borderId="0" fillId="7" fontId="3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0" fillId="0" fontId="4" numFmtId="0" xfId="0" applyAlignment="1" applyFont="1">
      <alignment readingOrder="0"/>
    </xf>
    <xf borderId="0" fillId="8" fontId="8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readingOrder="0"/>
    </xf>
    <xf borderId="0" fillId="9" fontId="9" numFmtId="0" xfId="0" applyAlignment="1" applyFill="1" applyFont="1">
      <alignment shrinkToFit="0" vertical="center" wrapText="1"/>
    </xf>
    <xf borderId="0" fillId="9" fontId="9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10" numFmtId="0" xfId="0" applyAlignment="1" applyFont="1">
      <alignment readingOrder="0" shrinkToFit="0" vertical="center" wrapText="1"/>
    </xf>
    <xf borderId="0" fillId="7" fontId="9" numFmtId="165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Vue_blocs-style">
      <tableStyleElement dxfId="1" type="headerRow"/>
      <tableStyleElement dxfId="2" type="firstRowStripe"/>
      <tableStyleElement dxfId="3" type="secondRowStripe"/>
    </tableStyle>
    <tableStyle count="3" pivot="0" name="Inventaire-style">
      <tableStyleElement dxfId="1" type="headerRow"/>
      <tableStyleElement dxfId="2" type="firstRowStripe"/>
      <tableStyleElement dxfId="3" type="secondRowStripe"/>
    </tableStyle>
    <tableStyle count="3" pivot="0" name="Synthese_blocs-style">
      <tableStyleElement dxfId="1" type="headerRow"/>
      <tableStyleElement dxfId="2" type="firstRowStripe"/>
      <tableStyleElement dxfId="3" type="secondRowStripe"/>
    </tableStyle>
    <tableStyle count="3" pivot="0" name="BOM_bru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B15" displayName="Table_1" name="Table_1" id="1">
  <tableColumns count="2">
    <tableColumn name="Bloc fonctionnel" id="1"/>
    <tableColumn name="Nombre de composants" id="2"/>
  </tableColumns>
  <tableStyleInfo name="Vue_blocs-style" showColumnStripes="0" showFirstColumn="1" showLastColumn="1" showRowStripes="1"/>
</table>
</file>

<file path=xl/tables/table2.xml><?xml version="1.0" encoding="utf-8"?>
<table xmlns="http://schemas.openxmlformats.org/spreadsheetml/2006/main" ref="A1:K48" displayName="Table_2" name="Table_2" id="2">
  <tableColumns count="11">
    <tableColumn name="Carte" id="1"/>
    <tableColumn name="Bloc fonctionnel" id="2"/>
    <tableColumn name="RefDes" id="3"/>
    <tableColumn name="Qté" id="4"/>
    <tableColumn name="Composant / valeur" id="5"/>
    <tableColumn name="Boîtier" id="6"/>
    <tableColumn name="Catégorie ACV" id="7"/>
    <tableColumn name="Fonction supposée" id="8"/>
    <tableColumn name="Traduction ecoinvent candidate" id="9"/>
    <tableColumn name="Niveau de confiance" id="10"/>
    <tableColumn name="Remarques" id="11"/>
  </tableColumns>
  <tableStyleInfo name="Inventaire-style" showColumnStripes="0" showFirstColumn="1" showLastColumn="1" showRowStripes="1"/>
</table>
</file>

<file path=xl/tables/table3.xml><?xml version="1.0" encoding="utf-8"?>
<table xmlns="http://schemas.openxmlformats.org/spreadsheetml/2006/main" ref="A1:C18" displayName="Table_3" name="Table_3" id="3">
  <tableColumns count="3">
    <tableColumn name="Bloc fonctionnel" id="1"/>
    <tableColumn name="Catégorie ACV" id="2"/>
    <tableColumn name="Nombre" id="3"/>
  </tableColumns>
  <tableStyleInfo name="Synthese_blocs-style" showColumnStripes="0" showFirstColumn="1" showLastColumn="1" showRowStripes="1"/>
</table>
</file>

<file path=xl/tables/table4.xml><?xml version="1.0" encoding="utf-8"?>
<table xmlns="http://schemas.openxmlformats.org/spreadsheetml/2006/main" ref="A1:E48" displayName="Table_4" name="Table_4" id="4">
  <tableColumns count="5">
    <tableColumn name="Part" id="1"/>
    <tableColumn name="Value" id="2"/>
    <tableColumn name="Device" id="3"/>
    <tableColumn name="Package" id="4"/>
    <tableColumn name="Description" id="5"/>
  </tableColumns>
  <tableStyleInfo name="BOM_bru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ProductDetail/Diodes-Incorporated/AP331AWG-7" TargetMode="External"/><Relationship Id="rId10" Type="http://schemas.openxmlformats.org/officeDocument/2006/relationships/hyperlink" Target="https://www.mouser.com/ProductDetail/onsemi/FQB22P10TM" TargetMode="External"/><Relationship Id="rId13" Type="http://schemas.openxmlformats.org/officeDocument/2006/relationships/hyperlink" Target="https://maldives.desertcart.com/products/49543933-esp-wroom-32-esp32-wifi-bt-ble-module" TargetMode="External"/><Relationship Id="rId12" Type="http://schemas.openxmlformats.org/officeDocument/2006/relationships/hyperlink" Target="https://www.mouser.com/datasheet/2/115/ds30144-1164515.pdf" TargetMode="External"/><Relationship Id="rId1" Type="http://schemas.openxmlformats.org/officeDocument/2006/relationships/hyperlink" Target="https://ifuturetech.org/product/0-1uf-0805-package/" TargetMode="External"/><Relationship Id="rId2" Type="http://schemas.openxmlformats.org/officeDocument/2006/relationships/hyperlink" Target="https://www.mouser.com/ProductDetail/Wurth-Elektronik/865080663020" TargetMode="External"/><Relationship Id="rId3" Type="http://schemas.openxmlformats.org/officeDocument/2006/relationships/hyperlink" Target="https://www.resistor.com/assets/pdf/1206std.pdf" TargetMode="External"/><Relationship Id="rId4" Type="http://schemas.openxmlformats.org/officeDocument/2006/relationships/hyperlink" Target="https://www.mouser.co.uk/ProductDetail/Vishay-Dale/WSL2512R1000FEA" TargetMode="External"/><Relationship Id="rId9" Type="http://schemas.openxmlformats.org/officeDocument/2006/relationships/hyperlink" Target="https://www.tme.eu/en/details/xt60pw-m/dc-power-connectors/amass/" TargetMode="External"/><Relationship Id="rId15" Type="http://schemas.openxmlformats.org/officeDocument/2006/relationships/hyperlink" Target="https://www.mouser.com/ProductDetail/Texas-Instruments/INA219AID" TargetMode="External"/><Relationship Id="rId14" Type="http://schemas.openxmlformats.org/officeDocument/2006/relationships/hyperlink" Target="https://eu.mouser.com/ProductDetail/Espressif-Systems/ESP32-DevKitC-32E" TargetMode="External"/><Relationship Id="rId17" Type="http://schemas.openxmlformats.org/officeDocument/2006/relationships/hyperlink" Target="https://eu.mouser.com/ProductDetail/onsemi/BZX84C6V8LT1G" TargetMode="External"/><Relationship Id="rId16" Type="http://schemas.openxmlformats.org/officeDocument/2006/relationships/hyperlink" Target="https://nz.mouser.com/ProductDetail/Analog-Devices-Maxim-Integrated/DS18B20%2BTR" TargetMode="External"/><Relationship Id="rId5" Type="http://schemas.openxmlformats.org/officeDocument/2006/relationships/hyperlink" Target="https://www.mouser.com/ProductDetail/Omron-Electronics/B3U-1000P-B" TargetMode="External"/><Relationship Id="rId6" Type="http://schemas.openxmlformats.org/officeDocument/2006/relationships/hyperlink" Target="https://www.mouser.com/ProductDetail/TE-Connectivity/1-282857-2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www.mouser.com/ProductDetail/TE-Connectivity/282834-3" TargetMode="External"/><Relationship Id="rId8" Type="http://schemas.openxmlformats.org/officeDocument/2006/relationships/hyperlink" Target="https://digipurk.ee/en/product/pin-single-row-1x6-2-54-m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5.0"/>
    <col customWidth="1" min="3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3"/>
      <c r="B6" s="3"/>
    </row>
    <row r="7">
      <c r="A7" s="4" t="s">
        <v>10</v>
      </c>
      <c r="B7" s="4" t="s">
        <v>11</v>
      </c>
    </row>
    <row r="8">
      <c r="A8" s="5" t="s">
        <v>12</v>
      </c>
      <c r="B8" s="6">
        <v>5.0</v>
      </c>
    </row>
    <row r="9">
      <c r="A9" s="2" t="s">
        <v>13</v>
      </c>
      <c r="B9" s="7">
        <v>4.0</v>
      </c>
    </row>
    <row r="10">
      <c r="A10" s="5" t="s">
        <v>14</v>
      </c>
      <c r="B10" s="6">
        <v>4.0</v>
      </c>
    </row>
    <row r="11">
      <c r="A11" s="2" t="s">
        <v>15</v>
      </c>
      <c r="B11" s="7">
        <v>5.0</v>
      </c>
    </row>
    <row r="12">
      <c r="A12" s="5" t="s">
        <v>16</v>
      </c>
      <c r="B12" s="6">
        <v>4.0</v>
      </c>
    </row>
    <row r="13">
      <c r="A13" s="2" t="s">
        <v>17</v>
      </c>
      <c r="B13" s="7">
        <v>1.0</v>
      </c>
    </row>
    <row r="14">
      <c r="A14" s="5" t="s">
        <v>18</v>
      </c>
      <c r="B14" s="6">
        <v>7.0</v>
      </c>
    </row>
    <row r="15">
      <c r="A15" s="2" t="s">
        <v>19</v>
      </c>
      <c r="B15" s="7">
        <v>17.0</v>
      </c>
    </row>
    <row r="16">
      <c r="A16" s="8" t="s">
        <v>20</v>
      </c>
      <c r="B16" s="8" t="s">
        <v>21</v>
      </c>
    </row>
    <row r="17">
      <c r="A17" s="8" t="s">
        <v>22</v>
      </c>
      <c r="B17" s="8" t="s">
        <v>23</v>
      </c>
    </row>
    <row r="18">
      <c r="A18" s="8" t="s">
        <v>24</v>
      </c>
      <c r="B18" s="8" t="s">
        <v>25</v>
      </c>
    </row>
    <row r="19">
      <c r="A19" s="8" t="s">
        <v>26</v>
      </c>
      <c r="B19" s="8" t="s">
        <v>27</v>
      </c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3" width="12.0"/>
    <col customWidth="1" min="4" max="4" width="8.0"/>
    <col customWidth="1" min="5" max="5" width="22.0"/>
    <col customWidth="1" min="6" max="6" width="18.0"/>
    <col customWidth="1" min="7" max="7" width="26.0"/>
    <col customWidth="1" min="8" max="8" width="28.0"/>
    <col customWidth="1" min="9" max="9" width="48.0"/>
    <col customWidth="1" min="10" max="10" width="18.0"/>
    <col customWidth="1" min="11" max="11" width="24.0"/>
    <col customWidth="1" min="12" max="26" width="8.71"/>
  </cols>
  <sheetData>
    <row r="1">
      <c r="A1" s="4" t="s">
        <v>28</v>
      </c>
      <c r="B1" s="4" t="s">
        <v>10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</row>
    <row r="2">
      <c r="A2" s="5" t="s">
        <v>38</v>
      </c>
      <c r="B2" s="5" t="s">
        <v>18</v>
      </c>
      <c r="C2" s="5" t="s">
        <v>39</v>
      </c>
      <c r="D2" s="6">
        <v>1.0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</row>
    <row r="3">
      <c r="A3" s="2" t="s">
        <v>38</v>
      </c>
      <c r="B3" s="2" t="s">
        <v>18</v>
      </c>
      <c r="C3" s="2" t="s">
        <v>47</v>
      </c>
      <c r="D3" s="7">
        <v>1.0</v>
      </c>
      <c r="E3" s="2" t="s">
        <v>48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</row>
    <row r="4">
      <c r="A4" s="5" t="s">
        <v>38</v>
      </c>
      <c r="B4" s="5" t="s">
        <v>18</v>
      </c>
      <c r="C4" s="5" t="s">
        <v>49</v>
      </c>
      <c r="D4" s="6">
        <v>1.0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</row>
    <row r="5">
      <c r="A5" s="2" t="s">
        <v>38</v>
      </c>
      <c r="B5" s="2" t="s">
        <v>18</v>
      </c>
      <c r="C5" s="2" t="s">
        <v>50</v>
      </c>
      <c r="D5" s="7">
        <v>1.0</v>
      </c>
      <c r="E5" s="2" t="s">
        <v>51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</row>
    <row r="6">
      <c r="A6" s="5" t="s">
        <v>38</v>
      </c>
      <c r="B6" s="5" t="s">
        <v>18</v>
      </c>
      <c r="C6" s="5" t="s">
        <v>52</v>
      </c>
      <c r="D6" s="6">
        <v>1.0</v>
      </c>
      <c r="E6" s="5" t="s">
        <v>51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</row>
    <row r="7">
      <c r="A7" s="2" t="s">
        <v>38</v>
      </c>
      <c r="B7" s="2" t="s">
        <v>18</v>
      </c>
      <c r="C7" s="2" t="s">
        <v>53</v>
      </c>
      <c r="D7" s="7">
        <v>1.0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</row>
    <row r="8">
      <c r="A8" s="5" t="s">
        <v>38</v>
      </c>
      <c r="B8" s="5" t="s">
        <v>18</v>
      </c>
      <c r="C8" s="5" t="s">
        <v>54</v>
      </c>
      <c r="D8" s="6">
        <v>1.0</v>
      </c>
      <c r="E8" s="5" t="s">
        <v>55</v>
      </c>
      <c r="F8" s="5" t="s">
        <v>41</v>
      </c>
      <c r="G8" s="5" t="s">
        <v>42</v>
      </c>
      <c r="H8" s="5" t="s">
        <v>43</v>
      </c>
      <c r="I8" s="5" t="s">
        <v>44</v>
      </c>
      <c r="J8" s="5" t="s">
        <v>45</v>
      </c>
      <c r="K8" s="5" t="s">
        <v>46</v>
      </c>
    </row>
    <row r="9">
      <c r="A9" s="2" t="s">
        <v>38</v>
      </c>
      <c r="B9" s="2" t="s">
        <v>12</v>
      </c>
      <c r="C9" s="2" t="s">
        <v>56</v>
      </c>
      <c r="D9" s="7">
        <v>1.0</v>
      </c>
      <c r="E9" s="2">
        <v>8.6508066302E11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45</v>
      </c>
      <c r="K9" s="2" t="s">
        <v>46</v>
      </c>
    </row>
    <row r="10">
      <c r="A10" s="5" t="s">
        <v>38</v>
      </c>
      <c r="B10" s="5" t="s">
        <v>14</v>
      </c>
      <c r="C10" s="5" t="s">
        <v>61</v>
      </c>
      <c r="D10" s="6">
        <v>1.0</v>
      </c>
      <c r="E10" s="9"/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67</v>
      </c>
    </row>
    <row r="11">
      <c r="A11" s="2" t="s">
        <v>38</v>
      </c>
      <c r="B11" s="2" t="s">
        <v>12</v>
      </c>
      <c r="C11" s="2" t="s">
        <v>68</v>
      </c>
      <c r="D11" s="7">
        <v>1.0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66</v>
      </c>
      <c r="K11" s="2" t="s">
        <v>67</v>
      </c>
    </row>
    <row r="12">
      <c r="A12" s="5" t="s">
        <v>38</v>
      </c>
      <c r="B12" s="5" t="s">
        <v>16</v>
      </c>
      <c r="C12" s="5" t="s">
        <v>74</v>
      </c>
      <c r="D12" s="6">
        <v>1.0</v>
      </c>
      <c r="E12" s="5" t="s">
        <v>75</v>
      </c>
      <c r="F12" s="5" t="s">
        <v>76</v>
      </c>
      <c r="G12" s="5" t="s">
        <v>63</v>
      </c>
      <c r="H12" s="5" t="s">
        <v>64</v>
      </c>
      <c r="I12" s="5" t="s">
        <v>65</v>
      </c>
      <c r="J12" s="5" t="s">
        <v>45</v>
      </c>
      <c r="K12" s="5" t="s">
        <v>77</v>
      </c>
    </row>
    <row r="13">
      <c r="A13" s="2" t="s">
        <v>38</v>
      </c>
      <c r="B13" s="2" t="s">
        <v>16</v>
      </c>
      <c r="C13" s="2" t="s">
        <v>78</v>
      </c>
      <c r="D13" s="7">
        <v>1.0</v>
      </c>
      <c r="E13" s="2" t="s">
        <v>75</v>
      </c>
      <c r="F13" s="2" t="s">
        <v>76</v>
      </c>
      <c r="G13" s="2" t="s">
        <v>63</v>
      </c>
      <c r="H13" s="2" t="s">
        <v>64</v>
      </c>
      <c r="I13" s="2" t="s">
        <v>65</v>
      </c>
      <c r="J13" s="2" t="s">
        <v>45</v>
      </c>
      <c r="K13" s="2" t="s">
        <v>77</v>
      </c>
    </row>
    <row r="14">
      <c r="A14" s="5" t="s">
        <v>38</v>
      </c>
      <c r="B14" s="5" t="s">
        <v>16</v>
      </c>
      <c r="C14" s="5" t="s">
        <v>79</v>
      </c>
      <c r="D14" s="6">
        <v>1.0</v>
      </c>
      <c r="E14" s="5" t="s">
        <v>75</v>
      </c>
      <c r="F14" s="5" t="s">
        <v>76</v>
      </c>
      <c r="G14" s="5" t="s">
        <v>63</v>
      </c>
      <c r="H14" s="5" t="s">
        <v>64</v>
      </c>
      <c r="I14" s="5" t="s">
        <v>65</v>
      </c>
      <c r="J14" s="5" t="s">
        <v>45</v>
      </c>
      <c r="K14" s="5" t="s">
        <v>77</v>
      </c>
    </row>
    <row r="15">
      <c r="A15" s="2" t="s">
        <v>38</v>
      </c>
      <c r="B15" s="2" t="s">
        <v>16</v>
      </c>
      <c r="C15" s="2" t="s">
        <v>80</v>
      </c>
      <c r="D15" s="7">
        <v>1.0</v>
      </c>
      <c r="E15" s="2" t="s">
        <v>75</v>
      </c>
      <c r="F15" s="2" t="s">
        <v>76</v>
      </c>
      <c r="G15" s="2" t="s">
        <v>63</v>
      </c>
      <c r="H15" s="2" t="s">
        <v>64</v>
      </c>
      <c r="I15" s="2" t="s">
        <v>65</v>
      </c>
      <c r="J15" s="2" t="s">
        <v>45</v>
      </c>
      <c r="K15" s="2" t="s">
        <v>77</v>
      </c>
    </row>
    <row r="16">
      <c r="A16" s="5" t="s">
        <v>38</v>
      </c>
      <c r="B16" s="5" t="s">
        <v>12</v>
      </c>
      <c r="C16" s="5" t="s">
        <v>81</v>
      </c>
      <c r="D16" s="6">
        <v>1.0</v>
      </c>
      <c r="E16" s="5" t="s">
        <v>82</v>
      </c>
      <c r="F16" s="5" t="s">
        <v>83</v>
      </c>
      <c r="G16" s="5" t="s">
        <v>63</v>
      </c>
      <c r="H16" s="5" t="s">
        <v>64</v>
      </c>
      <c r="I16" s="5" t="s">
        <v>65</v>
      </c>
      <c r="J16" s="5" t="s">
        <v>45</v>
      </c>
      <c r="K16" s="5" t="s">
        <v>77</v>
      </c>
    </row>
    <row r="17">
      <c r="A17" s="2" t="s">
        <v>38</v>
      </c>
      <c r="B17" s="2" t="s">
        <v>12</v>
      </c>
      <c r="C17" s="2" t="s">
        <v>84</v>
      </c>
      <c r="D17" s="7">
        <v>1.0</v>
      </c>
      <c r="E17" s="2" t="s">
        <v>85</v>
      </c>
      <c r="F17" s="2" t="s">
        <v>86</v>
      </c>
      <c r="G17" s="2" t="s">
        <v>63</v>
      </c>
      <c r="H17" s="2" t="s">
        <v>64</v>
      </c>
      <c r="I17" s="2" t="s">
        <v>65</v>
      </c>
      <c r="J17" s="2" t="s">
        <v>45</v>
      </c>
      <c r="K17" s="2" t="s">
        <v>77</v>
      </c>
    </row>
    <row r="18">
      <c r="A18" s="5" t="s">
        <v>38</v>
      </c>
      <c r="B18" s="5" t="s">
        <v>14</v>
      </c>
      <c r="C18" s="5" t="s">
        <v>87</v>
      </c>
      <c r="D18" s="6">
        <v>1.0</v>
      </c>
      <c r="E18" s="5" t="s">
        <v>88</v>
      </c>
      <c r="F18" s="5" t="s">
        <v>89</v>
      </c>
      <c r="G18" s="5" t="s">
        <v>90</v>
      </c>
      <c r="H18" s="5" t="s">
        <v>91</v>
      </c>
      <c r="I18" s="5" t="s">
        <v>92</v>
      </c>
      <c r="J18" s="5" t="s">
        <v>66</v>
      </c>
      <c r="K18" s="5" t="s">
        <v>67</v>
      </c>
    </row>
    <row r="19">
      <c r="A19" s="2" t="s">
        <v>38</v>
      </c>
      <c r="B19" s="2" t="s">
        <v>15</v>
      </c>
      <c r="C19" s="2" t="s">
        <v>93</v>
      </c>
      <c r="D19" s="7">
        <v>1.0</v>
      </c>
      <c r="E19" s="2" t="s">
        <v>94</v>
      </c>
      <c r="F19" s="2" t="s">
        <v>94</v>
      </c>
      <c r="G19" s="2" t="s">
        <v>95</v>
      </c>
      <c r="H19" s="2" t="s">
        <v>96</v>
      </c>
      <c r="I19" s="2" t="s">
        <v>97</v>
      </c>
      <c r="J19" s="2" t="s">
        <v>66</v>
      </c>
      <c r="K19" s="2" t="s">
        <v>67</v>
      </c>
    </row>
    <row r="20">
      <c r="A20" s="5" t="s">
        <v>38</v>
      </c>
      <c r="B20" s="5" t="s">
        <v>15</v>
      </c>
      <c r="C20" s="5" t="s">
        <v>98</v>
      </c>
      <c r="D20" s="6">
        <v>1.0</v>
      </c>
      <c r="E20" s="5" t="s">
        <v>94</v>
      </c>
      <c r="F20" s="5" t="s">
        <v>94</v>
      </c>
      <c r="G20" s="5" t="s">
        <v>95</v>
      </c>
      <c r="H20" s="5" t="s">
        <v>96</v>
      </c>
      <c r="I20" s="5" t="s">
        <v>97</v>
      </c>
      <c r="J20" s="5" t="s">
        <v>66</v>
      </c>
      <c r="K20" s="5" t="s">
        <v>67</v>
      </c>
    </row>
    <row r="21" ht="15.75" customHeight="1">
      <c r="A21" s="2" t="s">
        <v>38</v>
      </c>
      <c r="B21" s="2" t="s">
        <v>15</v>
      </c>
      <c r="C21" s="2" t="s">
        <v>99</v>
      </c>
      <c r="D21" s="7">
        <v>1.0</v>
      </c>
      <c r="E21" s="2" t="s">
        <v>100</v>
      </c>
      <c r="F21" s="2" t="s">
        <v>101</v>
      </c>
      <c r="G21" s="2" t="s">
        <v>102</v>
      </c>
      <c r="H21" s="2" t="s">
        <v>103</v>
      </c>
      <c r="I21" s="2" t="s">
        <v>104</v>
      </c>
      <c r="J21" s="2" t="s">
        <v>66</v>
      </c>
      <c r="K21" s="2" t="s">
        <v>67</v>
      </c>
    </row>
    <row r="22" ht="15.75" customHeight="1">
      <c r="A22" s="5" t="s">
        <v>38</v>
      </c>
      <c r="B22" s="5" t="s">
        <v>15</v>
      </c>
      <c r="C22" s="5" t="s">
        <v>105</v>
      </c>
      <c r="D22" s="6">
        <v>1.0</v>
      </c>
      <c r="E22" s="5" t="s">
        <v>106</v>
      </c>
      <c r="F22" s="5" t="s">
        <v>107</v>
      </c>
      <c r="G22" s="5" t="s">
        <v>108</v>
      </c>
      <c r="H22" s="5" t="s">
        <v>109</v>
      </c>
      <c r="I22" s="5" t="s">
        <v>110</v>
      </c>
      <c r="J22" s="5" t="s">
        <v>66</v>
      </c>
      <c r="K22" s="5" t="s">
        <v>67</v>
      </c>
    </row>
    <row r="23" ht="15.75" customHeight="1">
      <c r="A23" s="2" t="s">
        <v>38</v>
      </c>
      <c r="B23" s="2" t="s">
        <v>15</v>
      </c>
      <c r="C23" s="2" t="s">
        <v>111</v>
      </c>
      <c r="D23" s="7">
        <v>1.0</v>
      </c>
      <c r="E23" s="2" t="s">
        <v>106</v>
      </c>
      <c r="F23" s="2" t="s">
        <v>107</v>
      </c>
      <c r="G23" s="2" t="s">
        <v>108</v>
      </c>
      <c r="H23" s="2" t="s">
        <v>109</v>
      </c>
      <c r="I23" s="2" t="s">
        <v>110</v>
      </c>
      <c r="J23" s="2" t="s">
        <v>66</v>
      </c>
      <c r="K23" s="2" t="s">
        <v>67</v>
      </c>
    </row>
    <row r="24" ht="15.75" customHeight="1">
      <c r="A24" s="5" t="s">
        <v>38</v>
      </c>
      <c r="B24" s="5" t="s">
        <v>19</v>
      </c>
      <c r="C24" s="5" t="s">
        <v>112</v>
      </c>
      <c r="D24" s="6">
        <v>1.0</v>
      </c>
      <c r="E24" s="5" t="s">
        <v>113</v>
      </c>
      <c r="F24" s="5" t="s">
        <v>114</v>
      </c>
      <c r="G24" s="5" t="s">
        <v>115</v>
      </c>
      <c r="H24" s="5" t="s">
        <v>116</v>
      </c>
      <c r="I24" s="5" t="s">
        <v>117</v>
      </c>
      <c r="J24" s="5" t="s">
        <v>45</v>
      </c>
      <c r="K24" s="5" t="s">
        <v>46</v>
      </c>
    </row>
    <row r="25" ht="15.75" customHeight="1">
      <c r="A25" s="2" t="s">
        <v>38</v>
      </c>
      <c r="B25" s="2" t="s">
        <v>19</v>
      </c>
      <c r="C25" s="2" t="s">
        <v>118</v>
      </c>
      <c r="D25" s="7">
        <v>1.0</v>
      </c>
      <c r="E25" s="2" t="s">
        <v>113</v>
      </c>
      <c r="F25" s="2" t="s">
        <v>114</v>
      </c>
      <c r="G25" s="2" t="s">
        <v>115</v>
      </c>
      <c r="H25" s="2" t="s">
        <v>116</v>
      </c>
      <c r="I25" s="2" t="s">
        <v>117</v>
      </c>
      <c r="J25" s="2" t="s">
        <v>45</v>
      </c>
      <c r="K25" s="2" t="s">
        <v>46</v>
      </c>
    </row>
    <row r="26" ht="15.75" customHeight="1">
      <c r="A26" s="5" t="s">
        <v>38</v>
      </c>
      <c r="B26" s="5" t="s">
        <v>19</v>
      </c>
      <c r="C26" s="5" t="s">
        <v>119</v>
      </c>
      <c r="D26" s="6">
        <v>1.0</v>
      </c>
      <c r="E26" s="5" t="s">
        <v>120</v>
      </c>
      <c r="F26" s="5" t="s">
        <v>114</v>
      </c>
      <c r="G26" s="5" t="s">
        <v>115</v>
      </c>
      <c r="H26" s="5" t="s">
        <v>116</v>
      </c>
      <c r="I26" s="5" t="s">
        <v>117</v>
      </c>
      <c r="J26" s="5" t="s">
        <v>45</v>
      </c>
      <c r="K26" s="5" t="s">
        <v>46</v>
      </c>
    </row>
    <row r="27" ht="15.75" customHeight="1">
      <c r="A27" s="2" t="s">
        <v>38</v>
      </c>
      <c r="B27" s="2" t="s">
        <v>19</v>
      </c>
      <c r="C27" s="2" t="s">
        <v>121</v>
      </c>
      <c r="D27" s="7">
        <v>1.0</v>
      </c>
      <c r="E27" s="2" t="s">
        <v>122</v>
      </c>
      <c r="F27" s="2" t="s">
        <v>114</v>
      </c>
      <c r="G27" s="2" t="s">
        <v>115</v>
      </c>
      <c r="H27" s="2" t="s">
        <v>116</v>
      </c>
      <c r="I27" s="2" t="s">
        <v>117</v>
      </c>
      <c r="J27" s="2" t="s">
        <v>45</v>
      </c>
      <c r="K27" s="2" t="s">
        <v>46</v>
      </c>
    </row>
    <row r="28" ht="15.75" customHeight="1">
      <c r="A28" s="5" t="s">
        <v>38</v>
      </c>
      <c r="B28" s="5" t="s">
        <v>19</v>
      </c>
      <c r="C28" s="5" t="s">
        <v>123</v>
      </c>
      <c r="D28" s="6">
        <v>1.0</v>
      </c>
      <c r="E28" s="5" t="s">
        <v>120</v>
      </c>
      <c r="F28" s="5" t="s">
        <v>114</v>
      </c>
      <c r="G28" s="5" t="s">
        <v>115</v>
      </c>
      <c r="H28" s="5" t="s">
        <v>116</v>
      </c>
      <c r="I28" s="5" t="s">
        <v>117</v>
      </c>
      <c r="J28" s="5" t="s">
        <v>45</v>
      </c>
      <c r="K28" s="5" t="s">
        <v>46</v>
      </c>
    </row>
    <row r="29" ht="15.75" customHeight="1">
      <c r="A29" s="2" t="s">
        <v>38</v>
      </c>
      <c r="B29" s="2" t="s">
        <v>19</v>
      </c>
      <c r="C29" s="2" t="s">
        <v>124</v>
      </c>
      <c r="D29" s="7">
        <v>1.0</v>
      </c>
      <c r="E29" s="2" t="s">
        <v>125</v>
      </c>
      <c r="F29" s="2" t="s">
        <v>114</v>
      </c>
      <c r="G29" s="2" t="s">
        <v>115</v>
      </c>
      <c r="H29" s="2" t="s">
        <v>116</v>
      </c>
      <c r="I29" s="2" t="s">
        <v>117</v>
      </c>
      <c r="J29" s="2" t="s">
        <v>45</v>
      </c>
      <c r="K29" s="2" t="s">
        <v>46</v>
      </c>
    </row>
    <row r="30" ht="15.75" customHeight="1">
      <c r="A30" s="5" t="s">
        <v>38</v>
      </c>
      <c r="B30" s="5" t="s">
        <v>19</v>
      </c>
      <c r="C30" s="5" t="s">
        <v>126</v>
      </c>
      <c r="D30" s="6">
        <v>1.0</v>
      </c>
      <c r="E30" s="10">
        <v>46063.0</v>
      </c>
      <c r="F30" s="5" t="s">
        <v>114</v>
      </c>
      <c r="G30" s="5" t="s">
        <v>115</v>
      </c>
      <c r="H30" s="5" t="s">
        <v>116</v>
      </c>
      <c r="I30" s="5" t="s">
        <v>117</v>
      </c>
      <c r="J30" s="5" t="s">
        <v>45</v>
      </c>
      <c r="K30" s="5" t="s">
        <v>46</v>
      </c>
    </row>
    <row r="31" ht="15.75" customHeight="1">
      <c r="A31" s="2" t="s">
        <v>38</v>
      </c>
      <c r="B31" s="2" t="s">
        <v>19</v>
      </c>
      <c r="C31" s="2" t="s">
        <v>127</v>
      </c>
      <c r="D31" s="7">
        <v>1.0</v>
      </c>
      <c r="E31" s="11">
        <v>46063.0</v>
      </c>
      <c r="F31" s="2" t="s">
        <v>114</v>
      </c>
      <c r="G31" s="2" t="s">
        <v>115</v>
      </c>
      <c r="H31" s="2" t="s">
        <v>116</v>
      </c>
      <c r="I31" s="2" t="s">
        <v>117</v>
      </c>
      <c r="J31" s="2" t="s">
        <v>45</v>
      </c>
      <c r="K31" s="2" t="s">
        <v>46</v>
      </c>
    </row>
    <row r="32" ht="15.75" customHeight="1">
      <c r="A32" s="5" t="s">
        <v>38</v>
      </c>
      <c r="B32" s="5" t="s">
        <v>19</v>
      </c>
      <c r="C32" s="5" t="s">
        <v>128</v>
      </c>
      <c r="D32" s="6">
        <v>1.0</v>
      </c>
      <c r="E32" s="5" t="s">
        <v>125</v>
      </c>
      <c r="F32" s="5" t="s">
        <v>114</v>
      </c>
      <c r="G32" s="5" t="s">
        <v>115</v>
      </c>
      <c r="H32" s="5" t="s">
        <v>116</v>
      </c>
      <c r="I32" s="5" t="s">
        <v>117</v>
      </c>
      <c r="J32" s="5" t="s">
        <v>45</v>
      </c>
      <c r="K32" s="5" t="s">
        <v>46</v>
      </c>
    </row>
    <row r="33" ht="15.75" customHeight="1">
      <c r="A33" s="2" t="s">
        <v>38</v>
      </c>
      <c r="B33" s="2" t="s">
        <v>19</v>
      </c>
      <c r="C33" s="2" t="s">
        <v>129</v>
      </c>
      <c r="D33" s="7">
        <v>1.0</v>
      </c>
      <c r="E33" s="2" t="s">
        <v>120</v>
      </c>
      <c r="F33" s="2" t="s">
        <v>114</v>
      </c>
      <c r="G33" s="2" t="s">
        <v>115</v>
      </c>
      <c r="H33" s="2" t="s">
        <v>116</v>
      </c>
      <c r="I33" s="2" t="s">
        <v>117</v>
      </c>
      <c r="J33" s="2" t="s">
        <v>45</v>
      </c>
      <c r="K33" s="2" t="s">
        <v>46</v>
      </c>
    </row>
    <row r="34" ht="15.75" customHeight="1">
      <c r="A34" s="5" t="s">
        <v>38</v>
      </c>
      <c r="B34" s="5" t="s">
        <v>19</v>
      </c>
      <c r="C34" s="5" t="s">
        <v>130</v>
      </c>
      <c r="D34" s="6">
        <v>1.0</v>
      </c>
      <c r="E34" s="5" t="s">
        <v>120</v>
      </c>
      <c r="F34" s="5" t="s">
        <v>114</v>
      </c>
      <c r="G34" s="5" t="s">
        <v>115</v>
      </c>
      <c r="H34" s="5" t="s">
        <v>116</v>
      </c>
      <c r="I34" s="5" t="s">
        <v>117</v>
      </c>
      <c r="J34" s="5" t="s">
        <v>45</v>
      </c>
      <c r="K34" s="5" t="s">
        <v>46</v>
      </c>
    </row>
    <row r="35" ht="15.75" customHeight="1">
      <c r="A35" s="2" t="s">
        <v>38</v>
      </c>
      <c r="B35" s="2" t="s">
        <v>19</v>
      </c>
      <c r="C35" s="2" t="s">
        <v>131</v>
      </c>
      <c r="D35" s="7">
        <v>1.0</v>
      </c>
      <c r="E35" s="2" t="s">
        <v>120</v>
      </c>
      <c r="F35" s="2" t="s">
        <v>114</v>
      </c>
      <c r="G35" s="2" t="s">
        <v>115</v>
      </c>
      <c r="H35" s="2" t="s">
        <v>116</v>
      </c>
      <c r="I35" s="2" t="s">
        <v>117</v>
      </c>
      <c r="J35" s="2" t="s">
        <v>45</v>
      </c>
      <c r="K35" s="2" t="s">
        <v>46</v>
      </c>
    </row>
    <row r="36" ht="15.75" customHeight="1">
      <c r="A36" s="5" t="s">
        <v>38</v>
      </c>
      <c r="B36" s="5" t="s">
        <v>19</v>
      </c>
      <c r="C36" s="5" t="s">
        <v>132</v>
      </c>
      <c r="D36" s="6">
        <v>1.0</v>
      </c>
      <c r="E36" s="5" t="s">
        <v>133</v>
      </c>
      <c r="F36" s="5" t="s">
        <v>114</v>
      </c>
      <c r="G36" s="5" t="s">
        <v>115</v>
      </c>
      <c r="H36" s="5" t="s">
        <v>116</v>
      </c>
      <c r="I36" s="5" t="s">
        <v>117</v>
      </c>
      <c r="J36" s="5" t="s">
        <v>45</v>
      </c>
      <c r="K36" s="5" t="s">
        <v>46</v>
      </c>
    </row>
    <row r="37" ht="15.75" customHeight="1">
      <c r="A37" s="2" t="s">
        <v>38</v>
      </c>
      <c r="B37" s="2" t="s">
        <v>19</v>
      </c>
      <c r="C37" s="2" t="s">
        <v>134</v>
      </c>
      <c r="D37" s="7">
        <v>1.0</v>
      </c>
      <c r="E37" s="2" t="s">
        <v>122</v>
      </c>
      <c r="F37" s="2" t="s">
        <v>114</v>
      </c>
      <c r="G37" s="2" t="s">
        <v>115</v>
      </c>
      <c r="H37" s="2" t="s">
        <v>116</v>
      </c>
      <c r="I37" s="2" t="s">
        <v>117</v>
      </c>
      <c r="J37" s="2" t="s">
        <v>45</v>
      </c>
      <c r="K37" s="2" t="s">
        <v>46</v>
      </c>
    </row>
    <row r="38" ht="15.75" customHeight="1">
      <c r="A38" s="5" t="s">
        <v>38</v>
      </c>
      <c r="B38" s="5" t="s">
        <v>19</v>
      </c>
      <c r="C38" s="5" t="s">
        <v>135</v>
      </c>
      <c r="D38" s="6">
        <v>1.0</v>
      </c>
      <c r="E38" s="5" t="s">
        <v>136</v>
      </c>
      <c r="F38" s="5" t="s">
        <v>114</v>
      </c>
      <c r="G38" s="5" t="s">
        <v>115</v>
      </c>
      <c r="H38" s="5" t="s">
        <v>116</v>
      </c>
      <c r="I38" s="5" t="s">
        <v>117</v>
      </c>
      <c r="J38" s="5" t="s">
        <v>45</v>
      </c>
      <c r="K38" s="5" t="s">
        <v>46</v>
      </c>
    </row>
    <row r="39" ht="15.75" customHeight="1">
      <c r="A39" s="2" t="s">
        <v>38</v>
      </c>
      <c r="B39" s="2" t="s">
        <v>19</v>
      </c>
      <c r="C39" s="2" t="s">
        <v>137</v>
      </c>
      <c r="D39" s="7">
        <v>1.0</v>
      </c>
      <c r="E39" s="2" t="s">
        <v>138</v>
      </c>
      <c r="F39" s="2" t="s">
        <v>139</v>
      </c>
      <c r="G39" s="2" t="s">
        <v>115</v>
      </c>
      <c r="H39" s="2" t="s">
        <v>116</v>
      </c>
      <c r="I39" s="2" t="s">
        <v>117</v>
      </c>
      <c r="J39" s="2" t="s">
        <v>45</v>
      </c>
      <c r="K39" s="2" t="s">
        <v>46</v>
      </c>
    </row>
    <row r="40" ht="15.75" customHeight="1">
      <c r="A40" s="5" t="s">
        <v>38</v>
      </c>
      <c r="B40" s="5" t="s">
        <v>19</v>
      </c>
      <c r="C40" s="5" t="s">
        <v>140</v>
      </c>
      <c r="D40" s="6">
        <v>1.0</v>
      </c>
      <c r="E40" s="5" t="s">
        <v>141</v>
      </c>
      <c r="F40" s="5" t="s">
        <v>142</v>
      </c>
      <c r="G40" s="5" t="s">
        <v>143</v>
      </c>
      <c r="H40" s="5" t="s">
        <v>144</v>
      </c>
      <c r="I40" s="5" t="s">
        <v>145</v>
      </c>
      <c r="J40" s="5" t="s">
        <v>45</v>
      </c>
      <c r="K40" s="5" t="s">
        <v>46</v>
      </c>
    </row>
    <row r="41" ht="15.75" customHeight="1">
      <c r="A41" s="2" t="s">
        <v>38</v>
      </c>
      <c r="B41" s="2" t="s">
        <v>14</v>
      </c>
      <c r="C41" s="2" t="s">
        <v>146</v>
      </c>
      <c r="D41" s="7">
        <v>1.0</v>
      </c>
      <c r="E41" s="2" t="s">
        <v>88</v>
      </c>
      <c r="F41" s="2" t="s">
        <v>89</v>
      </c>
      <c r="G41" s="2" t="s">
        <v>115</v>
      </c>
      <c r="H41" s="2" t="s">
        <v>116</v>
      </c>
      <c r="I41" s="2" t="s">
        <v>117</v>
      </c>
      <c r="J41" s="2" t="s">
        <v>45</v>
      </c>
      <c r="K41" s="2" t="s">
        <v>46</v>
      </c>
    </row>
    <row r="42" ht="15.75" customHeight="1">
      <c r="A42" s="5" t="s">
        <v>38</v>
      </c>
      <c r="B42" s="5" t="s">
        <v>14</v>
      </c>
      <c r="C42" s="5" t="s">
        <v>147</v>
      </c>
      <c r="D42" s="6">
        <v>1.0</v>
      </c>
      <c r="E42" s="5" t="s">
        <v>148</v>
      </c>
      <c r="F42" s="5" t="s">
        <v>148</v>
      </c>
      <c r="G42" s="5" t="s">
        <v>149</v>
      </c>
      <c r="H42" s="5" t="s">
        <v>150</v>
      </c>
      <c r="I42" s="5" t="s">
        <v>151</v>
      </c>
      <c r="J42" s="5" t="s">
        <v>66</v>
      </c>
      <c r="K42" s="5" t="s">
        <v>67</v>
      </c>
    </row>
    <row r="43" ht="15.75" customHeight="1">
      <c r="A43" s="2" t="s">
        <v>38</v>
      </c>
      <c r="B43" s="2" t="s">
        <v>17</v>
      </c>
      <c r="C43" s="2" t="s">
        <v>152</v>
      </c>
      <c r="D43" s="7">
        <v>1.0</v>
      </c>
      <c r="E43" s="2" t="s">
        <v>153</v>
      </c>
      <c r="F43" s="2" t="s">
        <v>154</v>
      </c>
      <c r="G43" s="2" t="s">
        <v>155</v>
      </c>
      <c r="H43" s="2" t="s">
        <v>156</v>
      </c>
      <c r="I43" s="2" t="s">
        <v>157</v>
      </c>
      <c r="J43" s="2" t="s">
        <v>66</v>
      </c>
      <c r="K43" s="2" t="s">
        <v>67</v>
      </c>
    </row>
    <row r="44" ht="15.75" customHeight="1">
      <c r="A44" s="5" t="s">
        <v>38</v>
      </c>
      <c r="B44" s="5" t="s">
        <v>13</v>
      </c>
      <c r="C44" s="5" t="s">
        <v>158</v>
      </c>
      <c r="D44" s="6">
        <v>1.0</v>
      </c>
      <c r="E44" s="5" t="s">
        <v>159</v>
      </c>
      <c r="F44" s="5" t="s">
        <v>160</v>
      </c>
      <c r="G44" s="5" t="s">
        <v>161</v>
      </c>
      <c r="H44" s="5" t="s">
        <v>162</v>
      </c>
      <c r="I44" s="5" t="s">
        <v>163</v>
      </c>
      <c r="J44" s="5" t="s">
        <v>66</v>
      </c>
      <c r="K44" s="5" t="s">
        <v>67</v>
      </c>
    </row>
    <row r="45" ht="15.75" customHeight="1">
      <c r="A45" s="2" t="s">
        <v>38</v>
      </c>
      <c r="B45" s="2" t="s">
        <v>13</v>
      </c>
      <c r="C45" s="2" t="s">
        <v>164</v>
      </c>
      <c r="D45" s="7">
        <v>1.0</v>
      </c>
      <c r="E45" s="2" t="s">
        <v>159</v>
      </c>
      <c r="F45" s="2" t="s">
        <v>160</v>
      </c>
      <c r="G45" s="2" t="s">
        <v>161</v>
      </c>
      <c r="H45" s="2" t="s">
        <v>162</v>
      </c>
      <c r="I45" s="2" t="s">
        <v>163</v>
      </c>
      <c r="J45" s="2" t="s">
        <v>66</v>
      </c>
      <c r="K45" s="2" t="s">
        <v>67</v>
      </c>
    </row>
    <row r="46" ht="15.75" customHeight="1">
      <c r="A46" s="5" t="s">
        <v>38</v>
      </c>
      <c r="B46" s="5" t="s">
        <v>13</v>
      </c>
      <c r="C46" s="5" t="s">
        <v>165</v>
      </c>
      <c r="D46" s="6">
        <v>1.0</v>
      </c>
      <c r="E46" s="5" t="s">
        <v>159</v>
      </c>
      <c r="F46" s="5" t="s">
        <v>160</v>
      </c>
      <c r="G46" s="5" t="s">
        <v>161</v>
      </c>
      <c r="H46" s="5" t="s">
        <v>162</v>
      </c>
      <c r="I46" s="5" t="s">
        <v>163</v>
      </c>
      <c r="J46" s="5" t="s">
        <v>66</v>
      </c>
      <c r="K46" s="5" t="s">
        <v>67</v>
      </c>
    </row>
    <row r="47" ht="15.75" customHeight="1">
      <c r="A47" s="2" t="s">
        <v>38</v>
      </c>
      <c r="B47" s="2" t="s">
        <v>13</v>
      </c>
      <c r="C47" s="2" t="s">
        <v>166</v>
      </c>
      <c r="D47" s="7">
        <v>1.0</v>
      </c>
      <c r="E47" s="2" t="s">
        <v>159</v>
      </c>
      <c r="F47" s="2" t="s">
        <v>160</v>
      </c>
      <c r="G47" s="2" t="s">
        <v>161</v>
      </c>
      <c r="H47" s="2" t="s">
        <v>162</v>
      </c>
      <c r="I47" s="2" t="s">
        <v>163</v>
      </c>
      <c r="J47" s="2" t="s">
        <v>66</v>
      </c>
      <c r="K47" s="2" t="s">
        <v>67</v>
      </c>
    </row>
    <row r="48" ht="15.75" customHeight="1">
      <c r="A48" s="5" t="s">
        <v>38</v>
      </c>
      <c r="B48" s="5" t="s">
        <v>12</v>
      </c>
      <c r="C48" s="5" t="s">
        <v>167</v>
      </c>
      <c r="D48" s="6">
        <v>1.0</v>
      </c>
      <c r="E48" s="5" t="s">
        <v>168</v>
      </c>
      <c r="F48" s="5" t="s">
        <v>169</v>
      </c>
      <c r="G48" s="5" t="s">
        <v>170</v>
      </c>
      <c r="H48" s="5" t="s">
        <v>171</v>
      </c>
      <c r="I48" s="5" t="s">
        <v>172</v>
      </c>
      <c r="J48" s="5" t="s">
        <v>66</v>
      </c>
      <c r="K48" s="5" t="s">
        <v>67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10.0"/>
    <col customWidth="1" min="4" max="4" width="8.71"/>
    <col customWidth="1" min="5" max="5" width="12.0"/>
    <col customWidth="1" min="6" max="6" width="70.0"/>
    <col customWidth="1" min="7" max="26" width="8.71"/>
  </cols>
  <sheetData>
    <row r="1">
      <c r="A1" s="4" t="s">
        <v>10</v>
      </c>
      <c r="B1" s="4" t="s">
        <v>33</v>
      </c>
      <c r="C1" s="4" t="s">
        <v>173</v>
      </c>
      <c r="D1" s="3"/>
      <c r="E1" s="12" t="s">
        <v>174</v>
      </c>
      <c r="F1" s="13"/>
    </row>
    <row r="2">
      <c r="A2" s="5" t="s">
        <v>12</v>
      </c>
      <c r="B2" s="5" t="s">
        <v>58</v>
      </c>
      <c r="C2" s="6">
        <v>1.0</v>
      </c>
      <c r="D2" s="3"/>
      <c r="E2" s="2">
        <v>1.0</v>
      </c>
      <c r="F2" s="2" t="s">
        <v>175</v>
      </c>
    </row>
    <row r="3">
      <c r="A3" s="2" t="s">
        <v>12</v>
      </c>
      <c r="B3" s="2" t="s">
        <v>63</v>
      </c>
      <c r="C3" s="7">
        <v>2.0</v>
      </c>
      <c r="D3" s="3"/>
      <c r="E3" s="2">
        <v>2.0</v>
      </c>
      <c r="F3" s="2" t="s">
        <v>176</v>
      </c>
    </row>
    <row r="4">
      <c r="A4" s="5" t="s">
        <v>12</v>
      </c>
      <c r="B4" s="5" t="s">
        <v>170</v>
      </c>
      <c r="C4" s="6">
        <v>1.0</v>
      </c>
      <c r="D4" s="3"/>
      <c r="E4" s="2">
        <v>3.0</v>
      </c>
      <c r="F4" s="2" t="s">
        <v>177</v>
      </c>
    </row>
    <row r="5">
      <c r="A5" s="2" t="s">
        <v>12</v>
      </c>
      <c r="B5" s="2" t="s">
        <v>71</v>
      </c>
      <c r="C5" s="7">
        <v>1.0</v>
      </c>
      <c r="D5" s="3"/>
      <c r="E5" s="3"/>
      <c r="F5" s="3"/>
    </row>
    <row r="6">
      <c r="A6" s="5" t="s">
        <v>13</v>
      </c>
      <c r="B6" s="5" t="s">
        <v>161</v>
      </c>
      <c r="C6" s="6">
        <v>4.0</v>
      </c>
      <c r="D6" s="3"/>
      <c r="E6" s="3"/>
      <c r="F6" s="3"/>
    </row>
    <row r="7">
      <c r="A7" s="2" t="s">
        <v>14</v>
      </c>
      <c r="B7" s="2" t="s">
        <v>90</v>
      </c>
      <c r="C7" s="7">
        <v>1.0</v>
      </c>
      <c r="D7" s="3"/>
      <c r="E7" s="3"/>
      <c r="F7" s="3"/>
    </row>
    <row r="8">
      <c r="A8" s="5" t="s">
        <v>14</v>
      </c>
      <c r="B8" s="5" t="s">
        <v>63</v>
      </c>
      <c r="C8" s="6">
        <v>1.0</v>
      </c>
      <c r="D8" s="3"/>
      <c r="E8" s="3"/>
      <c r="F8" s="3"/>
    </row>
    <row r="9">
      <c r="A9" s="2" t="s">
        <v>14</v>
      </c>
      <c r="B9" s="2" t="s">
        <v>149</v>
      </c>
      <c r="C9" s="7">
        <v>1.0</v>
      </c>
      <c r="D9" s="3"/>
      <c r="E9" s="3"/>
      <c r="F9" s="3"/>
    </row>
    <row r="10">
      <c r="A10" s="5" t="s">
        <v>14</v>
      </c>
      <c r="B10" s="5" t="s">
        <v>115</v>
      </c>
      <c r="C10" s="6">
        <v>1.0</v>
      </c>
      <c r="D10" s="3"/>
      <c r="E10" s="3"/>
      <c r="F10" s="3"/>
    </row>
    <row r="11">
      <c r="A11" s="2" t="s">
        <v>15</v>
      </c>
      <c r="B11" s="2" t="s">
        <v>102</v>
      </c>
      <c r="C11" s="7">
        <v>1.0</v>
      </c>
      <c r="D11" s="3"/>
      <c r="E11" s="3"/>
      <c r="F11" s="3"/>
    </row>
    <row r="12">
      <c r="A12" s="5" t="s">
        <v>15</v>
      </c>
      <c r="B12" s="5" t="s">
        <v>95</v>
      </c>
      <c r="C12" s="6">
        <v>2.0</v>
      </c>
      <c r="D12" s="3"/>
      <c r="E12" s="3"/>
      <c r="F12" s="3"/>
    </row>
    <row r="13">
      <c r="A13" s="2" t="s">
        <v>15</v>
      </c>
      <c r="B13" s="2" t="s">
        <v>108</v>
      </c>
      <c r="C13" s="7">
        <v>2.0</v>
      </c>
      <c r="D13" s="3"/>
      <c r="E13" s="3"/>
      <c r="F13" s="3"/>
    </row>
    <row r="14">
      <c r="A14" s="5" t="s">
        <v>16</v>
      </c>
      <c r="B14" s="5" t="s">
        <v>63</v>
      </c>
      <c r="C14" s="6">
        <v>4.0</v>
      </c>
      <c r="D14" s="3"/>
      <c r="E14" s="3"/>
      <c r="F14" s="3"/>
    </row>
    <row r="15">
      <c r="A15" s="2" t="s">
        <v>17</v>
      </c>
      <c r="B15" s="2" t="s">
        <v>155</v>
      </c>
      <c r="C15" s="7">
        <v>1.0</v>
      </c>
      <c r="D15" s="3"/>
      <c r="E15" s="3"/>
      <c r="F15" s="3"/>
    </row>
    <row r="16">
      <c r="A16" s="5" t="s">
        <v>18</v>
      </c>
      <c r="B16" s="5" t="s">
        <v>42</v>
      </c>
      <c r="C16" s="6">
        <v>7.0</v>
      </c>
      <c r="D16" s="3"/>
      <c r="E16" s="3"/>
      <c r="F16" s="3"/>
    </row>
    <row r="17">
      <c r="A17" s="2" t="s">
        <v>19</v>
      </c>
      <c r="B17" s="2" t="s">
        <v>115</v>
      </c>
      <c r="C17" s="7">
        <v>16.0</v>
      </c>
      <c r="D17" s="3"/>
      <c r="E17" s="3"/>
      <c r="F17" s="3"/>
    </row>
    <row r="18">
      <c r="A18" s="5" t="s">
        <v>19</v>
      </c>
      <c r="B18" s="5" t="s">
        <v>143</v>
      </c>
      <c r="C18" s="6">
        <v>1.0</v>
      </c>
      <c r="D18" s="3"/>
      <c r="E18" s="3"/>
      <c r="F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8.0"/>
    <col customWidth="1" min="5" max="5" width="80.0"/>
    <col customWidth="1" min="6" max="26" width="8.71"/>
  </cols>
  <sheetData>
    <row r="1">
      <c r="A1" s="4" t="s">
        <v>178</v>
      </c>
      <c r="B1" s="4" t="s">
        <v>179</v>
      </c>
      <c r="C1" s="4" t="s">
        <v>180</v>
      </c>
      <c r="D1" s="4" t="s">
        <v>181</v>
      </c>
      <c r="E1" s="4" t="s">
        <v>182</v>
      </c>
    </row>
    <row r="2">
      <c r="A2" s="5" t="s">
        <v>39</v>
      </c>
      <c r="B2" s="5" t="s">
        <v>40</v>
      </c>
      <c r="C2" s="5" t="s">
        <v>183</v>
      </c>
      <c r="D2" s="5" t="s">
        <v>41</v>
      </c>
      <c r="E2" s="5" t="s">
        <v>184</v>
      </c>
    </row>
    <row r="3">
      <c r="A3" s="2" t="s">
        <v>47</v>
      </c>
      <c r="B3" s="2" t="s">
        <v>48</v>
      </c>
      <c r="C3" s="2" t="s">
        <v>183</v>
      </c>
      <c r="D3" s="2" t="s">
        <v>41</v>
      </c>
      <c r="E3" s="2" t="s">
        <v>184</v>
      </c>
    </row>
    <row r="4">
      <c r="A4" s="5" t="s">
        <v>49</v>
      </c>
      <c r="B4" s="5" t="s">
        <v>40</v>
      </c>
      <c r="C4" s="5" t="s">
        <v>183</v>
      </c>
      <c r="D4" s="5" t="s">
        <v>41</v>
      </c>
      <c r="E4" s="5" t="s">
        <v>184</v>
      </c>
    </row>
    <row r="5">
      <c r="A5" s="2" t="s">
        <v>50</v>
      </c>
      <c r="B5" s="2" t="s">
        <v>51</v>
      </c>
      <c r="C5" s="2" t="s">
        <v>183</v>
      </c>
      <c r="D5" s="2" t="s">
        <v>41</v>
      </c>
      <c r="E5" s="2" t="s">
        <v>184</v>
      </c>
    </row>
    <row r="6">
      <c r="A6" s="5" t="s">
        <v>52</v>
      </c>
      <c r="B6" s="5" t="s">
        <v>51</v>
      </c>
      <c r="C6" s="5" t="s">
        <v>183</v>
      </c>
      <c r="D6" s="5" t="s">
        <v>41</v>
      </c>
      <c r="E6" s="5" t="s">
        <v>184</v>
      </c>
    </row>
    <row r="7">
      <c r="A7" s="2" t="s">
        <v>53</v>
      </c>
      <c r="B7" s="2" t="s">
        <v>40</v>
      </c>
      <c r="C7" s="2" t="s">
        <v>183</v>
      </c>
      <c r="D7" s="2" t="s">
        <v>41</v>
      </c>
      <c r="E7" s="2" t="s">
        <v>184</v>
      </c>
    </row>
    <row r="8">
      <c r="A8" s="5" t="s">
        <v>54</v>
      </c>
      <c r="B8" s="5" t="s">
        <v>55</v>
      </c>
      <c r="C8" s="5" t="s">
        <v>183</v>
      </c>
      <c r="D8" s="5" t="s">
        <v>41</v>
      </c>
      <c r="E8" s="5" t="s">
        <v>184</v>
      </c>
    </row>
    <row r="9">
      <c r="A9" s="2" t="s">
        <v>56</v>
      </c>
      <c r="B9" s="2">
        <v>8.6508066302E11</v>
      </c>
      <c r="C9" s="2">
        <v>8.6508066302E11</v>
      </c>
      <c r="D9" s="2" t="s">
        <v>57</v>
      </c>
      <c r="E9" s="2" t="s">
        <v>185</v>
      </c>
    </row>
    <row r="10">
      <c r="A10" s="5" t="s">
        <v>61</v>
      </c>
      <c r="B10" s="9"/>
      <c r="C10" s="5" t="s">
        <v>186</v>
      </c>
      <c r="D10" s="5" t="s">
        <v>62</v>
      </c>
      <c r="E10" s="5" t="s">
        <v>187</v>
      </c>
    </row>
    <row r="11">
      <c r="A11" s="2" t="s">
        <v>68</v>
      </c>
      <c r="B11" s="2" t="s">
        <v>69</v>
      </c>
      <c r="C11" s="2" t="s">
        <v>69</v>
      </c>
      <c r="D11" s="2" t="s">
        <v>70</v>
      </c>
      <c r="E11" s="14"/>
    </row>
    <row r="12">
      <c r="A12" s="5" t="s">
        <v>74</v>
      </c>
      <c r="B12" s="5" t="s">
        <v>75</v>
      </c>
      <c r="C12" s="5" t="s">
        <v>75</v>
      </c>
      <c r="D12" s="5" t="s">
        <v>76</v>
      </c>
      <c r="E12" s="15"/>
    </row>
    <row r="13">
      <c r="A13" s="2" t="s">
        <v>78</v>
      </c>
      <c r="B13" s="2" t="s">
        <v>75</v>
      </c>
      <c r="C13" s="2" t="s">
        <v>75</v>
      </c>
      <c r="D13" s="2" t="s">
        <v>76</v>
      </c>
      <c r="E13" s="14"/>
    </row>
    <row r="14">
      <c r="A14" s="5" t="s">
        <v>79</v>
      </c>
      <c r="B14" s="5" t="s">
        <v>75</v>
      </c>
      <c r="C14" s="5" t="s">
        <v>75</v>
      </c>
      <c r="D14" s="5" t="s">
        <v>76</v>
      </c>
      <c r="E14" s="15"/>
    </row>
    <row r="15">
      <c r="A15" s="2" t="s">
        <v>80</v>
      </c>
      <c r="B15" s="2" t="s">
        <v>75</v>
      </c>
      <c r="C15" s="2" t="s">
        <v>75</v>
      </c>
      <c r="D15" s="2" t="s">
        <v>76</v>
      </c>
      <c r="E15" s="14"/>
    </row>
    <row r="16">
      <c r="A16" s="5" t="s">
        <v>81</v>
      </c>
      <c r="B16" s="5" t="s">
        <v>82</v>
      </c>
      <c r="C16" s="5" t="s">
        <v>82</v>
      </c>
      <c r="D16" s="5" t="s">
        <v>83</v>
      </c>
      <c r="E16" s="15"/>
    </row>
    <row r="17">
      <c r="A17" s="2" t="s">
        <v>84</v>
      </c>
      <c r="B17" s="2" t="s">
        <v>85</v>
      </c>
      <c r="C17" s="2" t="s">
        <v>85</v>
      </c>
      <c r="D17" s="2" t="s">
        <v>86</v>
      </c>
      <c r="E17" s="16"/>
    </row>
    <row r="18">
      <c r="A18" s="5" t="s">
        <v>87</v>
      </c>
      <c r="B18" s="5" t="s">
        <v>88</v>
      </c>
      <c r="C18" s="5" t="s">
        <v>88</v>
      </c>
      <c r="D18" s="5" t="s">
        <v>89</v>
      </c>
      <c r="E18" s="5" t="s">
        <v>188</v>
      </c>
    </row>
    <row r="19">
      <c r="A19" s="2" t="s">
        <v>93</v>
      </c>
      <c r="B19" s="2" t="s">
        <v>94</v>
      </c>
      <c r="C19" s="2" t="s">
        <v>94</v>
      </c>
      <c r="D19" s="2" t="s">
        <v>94</v>
      </c>
      <c r="E19" s="2" t="s">
        <v>189</v>
      </c>
    </row>
    <row r="20">
      <c r="A20" s="5" t="s">
        <v>98</v>
      </c>
      <c r="B20" s="5" t="s">
        <v>94</v>
      </c>
      <c r="C20" s="5" t="s">
        <v>94</v>
      </c>
      <c r="D20" s="5" t="s">
        <v>94</v>
      </c>
      <c r="E20" s="5" t="s">
        <v>189</v>
      </c>
    </row>
    <row r="21" ht="15.75" customHeight="1">
      <c r="A21" s="2" t="s">
        <v>99</v>
      </c>
      <c r="B21" s="2" t="s">
        <v>100</v>
      </c>
      <c r="C21" s="2" t="s">
        <v>100</v>
      </c>
      <c r="D21" s="2" t="s">
        <v>101</v>
      </c>
      <c r="E21" s="2" t="s">
        <v>190</v>
      </c>
    </row>
    <row r="22" ht="15.75" customHeight="1">
      <c r="A22" s="5" t="s">
        <v>105</v>
      </c>
      <c r="B22" s="5" t="s">
        <v>106</v>
      </c>
      <c r="C22" s="5" t="s">
        <v>106</v>
      </c>
      <c r="D22" s="5" t="s">
        <v>107</v>
      </c>
      <c r="E22" s="5" t="s">
        <v>191</v>
      </c>
    </row>
    <row r="23" ht="15.75" customHeight="1">
      <c r="A23" s="2" t="s">
        <v>111</v>
      </c>
      <c r="B23" s="2" t="s">
        <v>106</v>
      </c>
      <c r="C23" s="2" t="s">
        <v>106</v>
      </c>
      <c r="D23" s="2" t="s">
        <v>107</v>
      </c>
      <c r="E23" s="2" t="s">
        <v>191</v>
      </c>
    </row>
    <row r="24" ht="15.75" customHeight="1">
      <c r="A24" s="5" t="s">
        <v>112</v>
      </c>
      <c r="B24" s="5" t="s">
        <v>113</v>
      </c>
      <c r="C24" s="5" t="s">
        <v>192</v>
      </c>
      <c r="D24" s="5" t="s">
        <v>114</v>
      </c>
      <c r="E24" s="5" t="s">
        <v>193</v>
      </c>
    </row>
    <row r="25" ht="15.75" customHeight="1">
      <c r="A25" s="2" t="s">
        <v>118</v>
      </c>
      <c r="B25" s="2" t="s">
        <v>113</v>
      </c>
      <c r="C25" s="2" t="s">
        <v>192</v>
      </c>
      <c r="D25" s="2" t="s">
        <v>114</v>
      </c>
      <c r="E25" s="2" t="s">
        <v>193</v>
      </c>
    </row>
    <row r="26" ht="15.75" customHeight="1">
      <c r="A26" s="5" t="s">
        <v>119</v>
      </c>
      <c r="B26" s="5" t="s">
        <v>120</v>
      </c>
      <c r="C26" s="5" t="s">
        <v>192</v>
      </c>
      <c r="D26" s="5" t="s">
        <v>114</v>
      </c>
      <c r="E26" s="5" t="s">
        <v>193</v>
      </c>
    </row>
    <row r="27" ht="15.75" customHeight="1">
      <c r="A27" s="2" t="s">
        <v>121</v>
      </c>
      <c r="B27" s="2" t="s">
        <v>122</v>
      </c>
      <c r="C27" s="2" t="s">
        <v>192</v>
      </c>
      <c r="D27" s="2" t="s">
        <v>114</v>
      </c>
      <c r="E27" s="2" t="s">
        <v>193</v>
      </c>
    </row>
    <row r="28" ht="15.75" customHeight="1">
      <c r="A28" s="5" t="s">
        <v>123</v>
      </c>
      <c r="B28" s="5" t="s">
        <v>120</v>
      </c>
      <c r="C28" s="5" t="s">
        <v>192</v>
      </c>
      <c r="D28" s="5" t="s">
        <v>114</v>
      </c>
      <c r="E28" s="5" t="s">
        <v>193</v>
      </c>
    </row>
    <row r="29" ht="15.75" customHeight="1">
      <c r="A29" s="2" t="s">
        <v>124</v>
      </c>
      <c r="B29" s="2" t="s">
        <v>125</v>
      </c>
      <c r="C29" s="2" t="s">
        <v>192</v>
      </c>
      <c r="D29" s="2" t="s">
        <v>114</v>
      </c>
      <c r="E29" s="2" t="s">
        <v>193</v>
      </c>
    </row>
    <row r="30" ht="15.75" customHeight="1">
      <c r="A30" s="5" t="s">
        <v>126</v>
      </c>
      <c r="B30" s="10">
        <v>46063.0</v>
      </c>
      <c r="C30" s="5" t="s">
        <v>192</v>
      </c>
      <c r="D30" s="5" t="s">
        <v>114</v>
      </c>
      <c r="E30" s="5" t="s">
        <v>193</v>
      </c>
    </row>
    <row r="31" ht="15.75" customHeight="1">
      <c r="A31" s="2" t="s">
        <v>127</v>
      </c>
      <c r="B31" s="11">
        <v>46063.0</v>
      </c>
      <c r="C31" s="2" t="s">
        <v>192</v>
      </c>
      <c r="D31" s="2" t="s">
        <v>114</v>
      </c>
      <c r="E31" s="2" t="s">
        <v>193</v>
      </c>
    </row>
    <row r="32" ht="15.75" customHeight="1">
      <c r="A32" s="5" t="s">
        <v>128</v>
      </c>
      <c r="B32" s="5" t="s">
        <v>125</v>
      </c>
      <c r="C32" s="5" t="s">
        <v>192</v>
      </c>
      <c r="D32" s="5" t="s">
        <v>114</v>
      </c>
      <c r="E32" s="5" t="s">
        <v>193</v>
      </c>
    </row>
    <row r="33" ht="15.75" customHeight="1">
      <c r="A33" s="2" t="s">
        <v>129</v>
      </c>
      <c r="B33" s="2" t="s">
        <v>120</v>
      </c>
      <c r="C33" s="2" t="s">
        <v>192</v>
      </c>
      <c r="D33" s="2" t="s">
        <v>114</v>
      </c>
      <c r="E33" s="2" t="s">
        <v>193</v>
      </c>
    </row>
    <row r="34" ht="15.75" customHeight="1">
      <c r="A34" s="5" t="s">
        <v>130</v>
      </c>
      <c r="B34" s="5" t="s">
        <v>120</v>
      </c>
      <c r="C34" s="5" t="s">
        <v>192</v>
      </c>
      <c r="D34" s="5" t="s">
        <v>114</v>
      </c>
      <c r="E34" s="5" t="s">
        <v>193</v>
      </c>
    </row>
    <row r="35" ht="15.75" customHeight="1">
      <c r="A35" s="2" t="s">
        <v>131</v>
      </c>
      <c r="B35" s="2" t="s">
        <v>120</v>
      </c>
      <c r="C35" s="2" t="s">
        <v>192</v>
      </c>
      <c r="D35" s="2" t="s">
        <v>114</v>
      </c>
      <c r="E35" s="2" t="s">
        <v>193</v>
      </c>
    </row>
    <row r="36" ht="15.75" customHeight="1">
      <c r="A36" s="5" t="s">
        <v>132</v>
      </c>
      <c r="B36" s="5" t="s">
        <v>133</v>
      </c>
      <c r="C36" s="5" t="s">
        <v>192</v>
      </c>
      <c r="D36" s="5" t="s">
        <v>114</v>
      </c>
      <c r="E36" s="5" t="s">
        <v>193</v>
      </c>
    </row>
    <row r="37" ht="15.75" customHeight="1">
      <c r="A37" s="2" t="s">
        <v>134</v>
      </c>
      <c r="B37" s="2" t="s">
        <v>122</v>
      </c>
      <c r="C37" s="2" t="s">
        <v>192</v>
      </c>
      <c r="D37" s="2" t="s">
        <v>114</v>
      </c>
      <c r="E37" s="2" t="s">
        <v>193</v>
      </c>
    </row>
    <row r="38" ht="15.75" customHeight="1">
      <c r="A38" s="5" t="s">
        <v>135</v>
      </c>
      <c r="B38" s="5" t="s">
        <v>136</v>
      </c>
      <c r="C38" s="5" t="s">
        <v>192</v>
      </c>
      <c r="D38" s="5" t="s">
        <v>114</v>
      </c>
      <c r="E38" s="5" t="s">
        <v>193</v>
      </c>
    </row>
    <row r="39" ht="15.75" customHeight="1">
      <c r="A39" s="2" t="s">
        <v>137</v>
      </c>
      <c r="B39" s="2" t="s">
        <v>138</v>
      </c>
      <c r="C39" s="2" t="s">
        <v>138</v>
      </c>
      <c r="D39" s="2" t="s">
        <v>139</v>
      </c>
      <c r="E39" s="2" t="s">
        <v>194</v>
      </c>
    </row>
    <row r="40" ht="15.75" customHeight="1">
      <c r="A40" s="5" t="s">
        <v>140</v>
      </c>
      <c r="B40" s="5" t="s">
        <v>141</v>
      </c>
      <c r="C40" s="5" t="s">
        <v>141</v>
      </c>
      <c r="D40" s="5" t="s">
        <v>142</v>
      </c>
      <c r="E40" s="5" t="s">
        <v>195</v>
      </c>
    </row>
    <row r="41" ht="15.75" customHeight="1">
      <c r="A41" s="2" t="s">
        <v>146</v>
      </c>
      <c r="B41" s="2" t="s">
        <v>88</v>
      </c>
      <c r="C41" s="2" t="s">
        <v>88</v>
      </c>
      <c r="D41" s="2" t="s">
        <v>89</v>
      </c>
      <c r="E41" s="2" t="s">
        <v>188</v>
      </c>
    </row>
    <row r="42" ht="15.75" customHeight="1">
      <c r="A42" s="5" t="s">
        <v>147</v>
      </c>
      <c r="B42" s="5" t="s">
        <v>148</v>
      </c>
      <c r="C42" s="5" t="s">
        <v>148</v>
      </c>
      <c r="D42" s="5" t="s">
        <v>148</v>
      </c>
      <c r="E42" s="15"/>
    </row>
    <row r="43" ht="15.75" customHeight="1">
      <c r="A43" s="2" t="s">
        <v>152</v>
      </c>
      <c r="B43" s="2" t="s">
        <v>153</v>
      </c>
      <c r="C43" s="2" t="s">
        <v>153</v>
      </c>
      <c r="D43" s="2" t="s">
        <v>154</v>
      </c>
      <c r="E43" s="16"/>
    </row>
    <row r="44" ht="15.75" customHeight="1">
      <c r="A44" s="5" t="s">
        <v>158</v>
      </c>
      <c r="B44" s="5" t="s">
        <v>159</v>
      </c>
      <c r="C44" s="5" t="s">
        <v>159</v>
      </c>
      <c r="D44" s="5" t="s">
        <v>160</v>
      </c>
      <c r="E44" s="5" t="s">
        <v>191</v>
      </c>
    </row>
    <row r="45" ht="15.75" customHeight="1">
      <c r="A45" s="2" t="s">
        <v>164</v>
      </c>
      <c r="B45" s="2" t="s">
        <v>159</v>
      </c>
      <c r="C45" s="2" t="s">
        <v>159</v>
      </c>
      <c r="D45" s="2" t="s">
        <v>160</v>
      </c>
      <c r="E45" s="2" t="s">
        <v>191</v>
      </c>
    </row>
    <row r="46" ht="15.75" customHeight="1">
      <c r="A46" s="5" t="s">
        <v>165</v>
      </c>
      <c r="B46" s="5" t="s">
        <v>159</v>
      </c>
      <c r="C46" s="5" t="s">
        <v>159</v>
      </c>
      <c r="D46" s="5" t="s">
        <v>160</v>
      </c>
      <c r="E46" s="5" t="s">
        <v>191</v>
      </c>
    </row>
    <row r="47" ht="15.75" customHeight="1">
      <c r="A47" s="2" t="s">
        <v>166</v>
      </c>
      <c r="B47" s="2" t="s">
        <v>159</v>
      </c>
      <c r="C47" s="2" t="s">
        <v>159</v>
      </c>
      <c r="D47" s="2" t="s">
        <v>160</v>
      </c>
      <c r="E47" s="2" t="s">
        <v>191</v>
      </c>
    </row>
    <row r="48" ht="15.75" customHeight="1">
      <c r="A48" s="5" t="s">
        <v>167</v>
      </c>
      <c r="B48" s="5" t="s">
        <v>168</v>
      </c>
      <c r="C48" s="5" t="s">
        <v>168</v>
      </c>
      <c r="D48" s="5" t="s">
        <v>169</v>
      </c>
      <c r="E48" s="5" t="s">
        <v>196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9.14"/>
    <col customWidth="1" min="3" max="3" width="34.43"/>
    <col customWidth="1" min="9" max="9" width="26.29"/>
    <col customWidth="1" min="10" max="10" width="39.57"/>
    <col customWidth="1" min="11" max="11" width="21.86"/>
  </cols>
  <sheetData>
    <row r="1">
      <c r="A1" s="17" t="s">
        <v>197</v>
      </c>
      <c r="B1" s="17" t="s">
        <v>10</v>
      </c>
      <c r="C1" s="17" t="s">
        <v>198</v>
      </c>
      <c r="D1" s="17" t="s">
        <v>199</v>
      </c>
      <c r="E1" s="17" t="s">
        <v>30</v>
      </c>
      <c r="F1" s="17" t="s">
        <v>200</v>
      </c>
      <c r="G1" s="17" t="s">
        <v>201</v>
      </c>
      <c r="H1" s="17" t="s">
        <v>202</v>
      </c>
      <c r="I1" s="17" t="s">
        <v>203</v>
      </c>
      <c r="J1" s="17" t="s">
        <v>33</v>
      </c>
      <c r="K1" s="17" t="s">
        <v>35</v>
      </c>
      <c r="L1" s="17" t="s">
        <v>204</v>
      </c>
      <c r="M1" s="17" t="s">
        <v>37</v>
      </c>
      <c r="N1" s="17" t="s">
        <v>205</v>
      </c>
      <c r="O1" s="17" t="s">
        <v>206</v>
      </c>
      <c r="P1" s="17" t="s">
        <v>207</v>
      </c>
      <c r="Q1" s="17" t="s">
        <v>208</v>
      </c>
      <c r="R1" s="17" t="s">
        <v>209</v>
      </c>
      <c r="S1" s="17" t="s">
        <v>210</v>
      </c>
      <c r="T1" s="18"/>
    </row>
    <row r="2">
      <c r="A2" s="19" t="s">
        <v>211</v>
      </c>
      <c r="B2" s="19" t="s">
        <v>18</v>
      </c>
      <c r="C2" s="19" t="s">
        <v>212</v>
      </c>
      <c r="D2" s="19" t="s">
        <v>213</v>
      </c>
      <c r="E2" s="20">
        <v>7.0</v>
      </c>
      <c r="F2" s="20">
        <v>0.008</v>
      </c>
      <c r="G2" s="20">
        <v>0.056</v>
      </c>
      <c r="H2" s="20" t="s">
        <v>214</v>
      </c>
      <c r="I2" s="19" t="s">
        <v>215</v>
      </c>
      <c r="J2" s="19" t="s">
        <v>42</v>
      </c>
      <c r="K2" s="19" t="s">
        <v>44</v>
      </c>
      <c r="L2" s="19" t="s">
        <v>216</v>
      </c>
      <c r="M2" s="19" t="s">
        <v>217</v>
      </c>
      <c r="N2" s="21">
        <v>0.008</v>
      </c>
      <c r="O2" s="21">
        <v>0.056</v>
      </c>
      <c r="P2" s="19" t="s">
        <v>218</v>
      </c>
      <c r="Q2" s="22" t="s">
        <v>219</v>
      </c>
      <c r="R2" s="19" t="s">
        <v>220</v>
      </c>
      <c r="S2" s="19" t="s">
        <v>221</v>
      </c>
      <c r="T2" s="18"/>
    </row>
    <row r="3">
      <c r="A3" s="19" t="s">
        <v>211</v>
      </c>
      <c r="B3" s="19" t="s">
        <v>12</v>
      </c>
      <c r="C3" s="19" t="s">
        <v>222</v>
      </c>
      <c r="D3" s="19" t="s">
        <v>56</v>
      </c>
      <c r="E3" s="20">
        <v>1.0</v>
      </c>
      <c r="F3" s="20">
        <v>5.359</v>
      </c>
      <c r="G3" s="20">
        <v>5.359</v>
      </c>
      <c r="H3" s="20" t="s">
        <v>214</v>
      </c>
      <c r="I3" s="19" t="s">
        <v>223</v>
      </c>
      <c r="J3" s="19" t="s">
        <v>58</v>
      </c>
      <c r="K3" s="19" t="s">
        <v>60</v>
      </c>
      <c r="L3" s="19" t="s">
        <v>216</v>
      </c>
      <c r="M3" s="23"/>
      <c r="N3" s="21">
        <v>5.359</v>
      </c>
      <c r="O3" s="21">
        <v>5.359</v>
      </c>
      <c r="P3" s="19" t="s">
        <v>224</v>
      </c>
      <c r="Q3" s="22" t="s">
        <v>225</v>
      </c>
      <c r="R3" s="19" t="s">
        <v>226</v>
      </c>
      <c r="S3" s="19" t="s">
        <v>227</v>
      </c>
      <c r="T3" s="18"/>
      <c r="U3" s="18"/>
      <c r="V3" s="18"/>
      <c r="W3" s="18"/>
      <c r="X3" s="18"/>
      <c r="Y3" s="18"/>
      <c r="Z3" s="18"/>
    </row>
    <row r="4">
      <c r="A4" s="19" t="s">
        <v>211</v>
      </c>
      <c r="B4" s="19" t="s">
        <v>19</v>
      </c>
      <c r="C4" s="19" t="s">
        <v>228</v>
      </c>
      <c r="D4" s="19" t="s">
        <v>229</v>
      </c>
      <c r="E4" s="20">
        <v>16.0</v>
      </c>
      <c r="F4" s="20">
        <v>0.0084</v>
      </c>
      <c r="G4" s="20">
        <v>0.1344</v>
      </c>
      <c r="H4" s="20" t="s">
        <v>214</v>
      </c>
      <c r="I4" s="19" t="s">
        <v>230</v>
      </c>
      <c r="J4" s="19" t="s">
        <v>115</v>
      </c>
      <c r="K4" s="19" t="s">
        <v>117</v>
      </c>
      <c r="L4" s="19" t="s">
        <v>216</v>
      </c>
      <c r="M4" s="19" t="s">
        <v>231</v>
      </c>
      <c r="N4" s="21">
        <v>0.0084</v>
      </c>
      <c r="O4" s="21">
        <v>0.1344</v>
      </c>
      <c r="P4" s="19" t="s">
        <v>232</v>
      </c>
      <c r="Q4" s="22" t="s">
        <v>233</v>
      </c>
      <c r="R4" s="19" t="s">
        <v>220</v>
      </c>
      <c r="S4" s="19" t="s">
        <v>234</v>
      </c>
      <c r="T4" s="24"/>
      <c r="U4" s="25"/>
      <c r="V4" s="25"/>
      <c r="W4" s="25"/>
      <c r="X4" s="25"/>
      <c r="Y4" s="25"/>
      <c r="Z4" s="25"/>
    </row>
    <row r="5">
      <c r="A5" s="19" t="s">
        <v>211</v>
      </c>
      <c r="B5" s="19" t="s">
        <v>235</v>
      </c>
      <c r="C5" s="19" t="s">
        <v>236</v>
      </c>
      <c r="D5" s="19" t="s">
        <v>140</v>
      </c>
      <c r="E5" s="20">
        <v>1.0</v>
      </c>
      <c r="F5" s="20">
        <v>0.0405</v>
      </c>
      <c r="G5" s="20">
        <v>0.0405</v>
      </c>
      <c r="H5" s="20" t="s">
        <v>214</v>
      </c>
      <c r="I5" s="19" t="s">
        <v>237</v>
      </c>
      <c r="J5" s="19" t="s">
        <v>238</v>
      </c>
      <c r="K5" s="19" t="s">
        <v>145</v>
      </c>
      <c r="L5" s="19" t="s">
        <v>216</v>
      </c>
      <c r="M5" s="23"/>
      <c r="N5" s="21">
        <v>0.0405</v>
      </c>
      <c r="O5" s="21">
        <v>0.0405</v>
      </c>
      <c r="P5" s="19" t="s">
        <v>224</v>
      </c>
      <c r="Q5" s="22" t="s">
        <v>239</v>
      </c>
      <c r="R5" s="19" t="s">
        <v>226</v>
      </c>
      <c r="S5" s="19" t="s">
        <v>240</v>
      </c>
    </row>
    <row r="6">
      <c r="A6" s="19" t="s">
        <v>211</v>
      </c>
      <c r="B6" s="19" t="s">
        <v>14</v>
      </c>
      <c r="C6" s="19" t="s">
        <v>241</v>
      </c>
      <c r="D6" s="19" t="s">
        <v>242</v>
      </c>
      <c r="E6" s="20">
        <v>2.0</v>
      </c>
      <c r="F6" s="20">
        <v>0.022</v>
      </c>
      <c r="G6" s="20">
        <v>0.044</v>
      </c>
      <c r="H6" s="20" t="s">
        <v>214</v>
      </c>
      <c r="I6" s="19" t="s">
        <v>243</v>
      </c>
      <c r="J6" s="19" t="s">
        <v>244</v>
      </c>
      <c r="K6" s="19" t="s">
        <v>92</v>
      </c>
      <c r="L6" s="19" t="s">
        <v>216</v>
      </c>
      <c r="M6" s="19" t="s">
        <v>245</v>
      </c>
      <c r="N6" s="21">
        <v>0.022</v>
      </c>
      <c r="O6" s="21">
        <v>0.044</v>
      </c>
      <c r="P6" s="19" t="s">
        <v>224</v>
      </c>
      <c r="Q6" s="22" t="s">
        <v>246</v>
      </c>
      <c r="R6" s="19" t="s">
        <v>226</v>
      </c>
      <c r="S6" s="19" t="s">
        <v>247</v>
      </c>
      <c r="T6" s="18"/>
      <c r="U6" s="18"/>
      <c r="V6" s="18"/>
      <c r="W6" s="18"/>
      <c r="X6" s="18"/>
      <c r="Y6" s="18"/>
      <c r="Z6" s="18"/>
    </row>
    <row r="7">
      <c r="A7" s="19" t="s">
        <v>211</v>
      </c>
      <c r="B7" s="19" t="s">
        <v>248</v>
      </c>
      <c r="C7" s="19" t="s">
        <v>249</v>
      </c>
      <c r="D7" s="19" t="s">
        <v>250</v>
      </c>
      <c r="E7" s="20">
        <v>4.0</v>
      </c>
      <c r="F7" s="20">
        <v>9.515</v>
      </c>
      <c r="G7" s="20">
        <v>38.06</v>
      </c>
      <c r="H7" s="20" t="s">
        <v>214</v>
      </c>
      <c r="I7" s="19" t="s">
        <v>251</v>
      </c>
      <c r="J7" s="19" t="s">
        <v>63</v>
      </c>
      <c r="K7" s="19" t="s">
        <v>65</v>
      </c>
      <c r="L7" s="19" t="s">
        <v>216</v>
      </c>
      <c r="M7" s="23"/>
      <c r="N7" s="21">
        <v>9.515</v>
      </c>
      <c r="O7" s="21">
        <v>38.06</v>
      </c>
      <c r="P7" s="19" t="s">
        <v>224</v>
      </c>
      <c r="Q7" s="22" t="s">
        <v>252</v>
      </c>
      <c r="R7" s="19" t="s">
        <v>226</v>
      </c>
      <c r="S7" s="19" t="s">
        <v>253</v>
      </c>
      <c r="T7" s="18"/>
      <c r="U7" s="18"/>
      <c r="V7" s="18"/>
      <c r="W7" s="18"/>
      <c r="X7" s="18"/>
      <c r="Y7" s="18"/>
      <c r="Z7" s="18"/>
    </row>
    <row r="8">
      <c r="A8" s="26" t="s">
        <v>211</v>
      </c>
      <c r="B8" s="26" t="s">
        <v>248</v>
      </c>
      <c r="C8" s="26" t="s">
        <v>254</v>
      </c>
      <c r="D8" s="26" t="s">
        <v>81</v>
      </c>
      <c r="E8" s="27">
        <v>1.0</v>
      </c>
      <c r="F8" s="27">
        <v>1.012</v>
      </c>
      <c r="G8" s="27">
        <v>1.012</v>
      </c>
      <c r="H8" s="27" t="s">
        <v>214</v>
      </c>
      <c r="I8" s="26" t="s">
        <v>255</v>
      </c>
      <c r="J8" s="26" t="s">
        <v>63</v>
      </c>
      <c r="K8" s="26" t="s">
        <v>65</v>
      </c>
      <c r="L8" s="26" t="s">
        <v>216</v>
      </c>
      <c r="M8" s="28"/>
      <c r="N8" s="29">
        <v>1.012</v>
      </c>
      <c r="O8" s="29">
        <v>1.012</v>
      </c>
      <c r="P8" s="26" t="s">
        <v>224</v>
      </c>
      <c r="Q8" s="30" t="s">
        <v>256</v>
      </c>
      <c r="R8" s="26" t="s">
        <v>226</v>
      </c>
      <c r="S8" s="26" t="s">
        <v>257</v>
      </c>
      <c r="T8" s="31"/>
      <c r="U8" s="31"/>
      <c r="V8" s="31"/>
      <c r="W8" s="31"/>
      <c r="X8" s="31"/>
      <c r="Y8" s="31"/>
      <c r="Z8" s="31"/>
    </row>
    <row r="9">
      <c r="A9" s="19" t="s">
        <v>211</v>
      </c>
      <c r="B9" s="19" t="s">
        <v>248</v>
      </c>
      <c r="C9" s="19" t="s">
        <v>258</v>
      </c>
      <c r="D9" s="19" t="s">
        <v>61</v>
      </c>
      <c r="E9" s="20">
        <v>1.0</v>
      </c>
      <c r="F9" s="20">
        <v>0.4</v>
      </c>
      <c r="G9" s="20">
        <v>0.4</v>
      </c>
      <c r="H9" s="20" t="s">
        <v>214</v>
      </c>
      <c r="I9" s="19" t="s">
        <v>259</v>
      </c>
      <c r="J9" s="19" t="s">
        <v>63</v>
      </c>
      <c r="K9" s="19" t="s">
        <v>260</v>
      </c>
      <c r="L9" s="19" t="s">
        <v>216</v>
      </c>
      <c r="M9" s="23"/>
      <c r="N9" s="21">
        <v>0.4</v>
      </c>
      <c r="O9" s="21">
        <v>0.4</v>
      </c>
      <c r="P9" s="19" t="s">
        <v>261</v>
      </c>
      <c r="Q9" s="22" t="s">
        <v>262</v>
      </c>
      <c r="R9" s="19" t="s">
        <v>263</v>
      </c>
      <c r="S9" s="19" t="s">
        <v>264</v>
      </c>
      <c r="T9" s="18"/>
      <c r="U9" s="18"/>
      <c r="V9" s="18"/>
      <c r="W9" s="18"/>
      <c r="X9" s="18"/>
      <c r="Y9" s="18"/>
      <c r="Z9" s="18"/>
    </row>
    <row r="10">
      <c r="A10" s="19" t="s">
        <v>211</v>
      </c>
      <c r="B10" s="19" t="s">
        <v>265</v>
      </c>
      <c r="C10" s="19" t="s">
        <v>266</v>
      </c>
      <c r="D10" s="19" t="s">
        <v>84</v>
      </c>
      <c r="E10" s="20">
        <v>1.0</v>
      </c>
      <c r="F10" s="20">
        <v>4.104</v>
      </c>
      <c r="G10" s="20">
        <v>4.104</v>
      </c>
      <c r="H10" s="20" t="s">
        <v>214</v>
      </c>
      <c r="I10" s="19" t="s">
        <v>267</v>
      </c>
      <c r="J10" s="19" t="s">
        <v>268</v>
      </c>
      <c r="K10" s="19" t="s">
        <v>269</v>
      </c>
      <c r="L10" s="19" t="s">
        <v>216</v>
      </c>
      <c r="M10" s="23"/>
      <c r="N10" s="21">
        <v>4.104</v>
      </c>
      <c r="O10" s="21">
        <v>4.104</v>
      </c>
      <c r="P10" s="19" t="s">
        <v>261</v>
      </c>
      <c r="Q10" s="22" t="s">
        <v>270</v>
      </c>
      <c r="R10" s="19" t="s">
        <v>220</v>
      </c>
      <c r="S10" s="19" t="s">
        <v>271</v>
      </c>
      <c r="T10" s="18"/>
      <c r="U10" s="18"/>
      <c r="V10" s="18"/>
      <c r="W10" s="18"/>
      <c r="X10" s="18"/>
      <c r="Y10" s="18"/>
      <c r="Z10" s="18"/>
    </row>
    <row r="11">
      <c r="A11" s="19" t="s">
        <v>211</v>
      </c>
      <c r="B11" s="19" t="s">
        <v>12</v>
      </c>
      <c r="C11" s="19" t="s">
        <v>71</v>
      </c>
      <c r="D11" s="19" t="s">
        <v>68</v>
      </c>
      <c r="E11" s="20">
        <v>1.0</v>
      </c>
      <c r="F11" s="20">
        <v>0.3</v>
      </c>
      <c r="G11" s="20">
        <v>0.3</v>
      </c>
      <c r="H11" s="20" t="s">
        <v>214</v>
      </c>
      <c r="I11" s="19" t="s">
        <v>272</v>
      </c>
      <c r="J11" s="19" t="s">
        <v>273</v>
      </c>
      <c r="K11" s="19" t="s">
        <v>73</v>
      </c>
      <c r="L11" s="19" t="s">
        <v>216</v>
      </c>
      <c r="M11" s="23"/>
      <c r="N11" s="21">
        <v>0.3</v>
      </c>
      <c r="O11" s="21">
        <v>0.3</v>
      </c>
      <c r="P11" s="19" t="s">
        <v>274</v>
      </c>
      <c r="Q11" s="19" t="s">
        <v>275</v>
      </c>
      <c r="R11" s="19" t="s">
        <v>220</v>
      </c>
      <c r="S11" s="19" t="s">
        <v>276</v>
      </c>
      <c r="T11" s="18"/>
      <c r="U11" s="18"/>
      <c r="V11" s="18"/>
      <c r="W11" s="18"/>
      <c r="X11" s="18"/>
      <c r="Y11" s="18"/>
      <c r="Z11" s="18"/>
    </row>
    <row r="12">
      <c r="A12" s="19" t="s">
        <v>211</v>
      </c>
      <c r="B12" s="19" t="s">
        <v>15</v>
      </c>
      <c r="C12" s="19" t="s">
        <v>95</v>
      </c>
      <c r="D12" s="19" t="s">
        <v>277</v>
      </c>
      <c r="E12" s="20">
        <v>2.0</v>
      </c>
      <c r="F12" s="20">
        <v>3.9499</v>
      </c>
      <c r="G12" s="20">
        <v>7.8998</v>
      </c>
      <c r="H12" s="20" t="s">
        <v>214</v>
      </c>
      <c r="I12" s="19" t="s">
        <v>278</v>
      </c>
      <c r="J12" s="19" t="s">
        <v>279</v>
      </c>
      <c r="K12" s="19" t="s">
        <v>97</v>
      </c>
      <c r="L12" s="19" t="s">
        <v>216</v>
      </c>
      <c r="M12" s="23"/>
      <c r="N12" s="21">
        <v>3.9499</v>
      </c>
      <c r="O12" s="21">
        <v>7.8998</v>
      </c>
      <c r="P12" s="19" t="s">
        <v>224</v>
      </c>
      <c r="Q12" s="22" t="s">
        <v>280</v>
      </c>
      <c r="R12" s="19" t="s">
        <v>226</v>
      </c>
      <c r="S12" s="19" t="s">
        <v>281</v>
      </c>
      <c r="T12" s="18"/>
    </row>
    <row r="13">
      <c r="A13" s="19" t="s">
        <v>211</v>
      </c>
      <c r="B13" s="19" t="s">
        <v>15</v>
      </c>
      <c r="C13" s="19" t="s">
        <v>282</v>
      </c>
      <c r="D13" s="19" t="s">
        <v>99</v>
      </c>
      <c r="E13" s="20">
        <v>1.0</v>
      </c>
      <c r="F13" s="20">
        <v>0.0506</v>
      </c>
      <c r="G13" s="20">
        <v>0.0506</v>
      </c>
      <c r="H13" s="20" t="s">
        <v>214</v>
      </c>
      <c r="I13" s="19" t="s">
        <v>283</v>
      </c>
      <c r="J13" s="19" t="s">
        <v>284</v>
      </c>
      <c r="K13" s="19" t="s">
        <v>104</v>
      </c>
      <c r="L13" s="19" t="s">
        <v>216</v>
      </c>
      <c r="M13" s="23"/>
      <c r="N13" s="21">
        <v>0.0506</v>
      </c>
      <c r="O13" s="21">
        <v>0.0506</v>
      </c>
      <c r="P13" s="19" t="s">
        <v>224</v>
      </c>
      <c r="Q13" s="22" t="s">
        <v>285</v>
      </c>
      <c r="R13" s="19" t="s">
        <v>226</v>
      </c>
      <c r="S13" s="19" t="s">
        <v>286</v>
      </c>
      <c r="T13" s="18"/>
      <c r="U13" s="18"/>
      <c r="V13" s="18"/>
      <c r="W13" s="18"/>
      <c r="X13" s="18"/>
      <c r="Y13" s="18"/>
      <c r="Z13" s="18"/>
    </row>
    <row r="14">
      <c r="A14" s="19" t="s">
        <v>211</v>
      </c>
      <c r="B14" s="19" t="s">
        <v>15</v>
      </c>
      <c r="C14" s="19" t="s">
        <v>108</v>
      </c>
      <c r="D14" s="19" t="s">
        <v>287</v>
      </c>
      <c r="E14" s="20">
        <v>2.0</v>
      </c>
      <c r="F14" s="20">
        <v>0.008</v>
      </c>
      <c r="G14" s="20">
        <v>0.016</v>
      </c>
      <c r="H14" s="20" t="s">
        <v>214</v>
      </c>
      <c r="I14" s="19" t="s">
        <v>288</v>
      </c>
      <c r="J14" s="19" t="s">
        <v>289</v>
      </c>
      <c r="K14" s="19" t="s">
        <v>110</v>
      </c>
      <c r="L14" s="19" t="s">
        <v>216</v>
      </c>
      <c r="M14" s="23"/>
      <c r="N14" s="21">
        <v>0.008</v>
      </c>
      <c r="O14" s="21">
        <v>0.016</v>
      </c>
      <c r="P14" s="19" t="s">
        <v>290</v>
      </c>
      <c r="Q14" s="22" t="s">
        <v>291</v>
      </c>
      <c r="R14" s="19" t="s">
        <v>226</v>
      </c>
      <c r="S14" s="19" t="s">
        <v>292</v>
      </c>
      <c r="T14" s="18"/>
    </row>
    <row r="15">
      <c r="A15" s="19" t="s">
        <v>211</v>
      </c>
      <c r="B15" s="19" t="s">
        <v>14</v>
      </c>
      <c r="C15" s="19" t="s">
        <v>293</v>
      </c>
      <c r="D15" s="19" t="s">
        <v>147</v>
      </c>
      <c r="E15" s="20">
        <v>1.0</v>
      </c>
      <c r="F15" s="20">
        <v>3.0</v>
      </c>
      <c r="G15" s="20">
        <v>3.0</v>
      </c>
      <c r="H15" s="20" t="s">
        <v>214</v>
      </c>
      <c r="I15" s="19" t="s">
        <v>294</v>
      </c>
      <c r="J15" s="19" t="s">
        <v>295</v>
      </c>
      <c r="K15" s="19" t="s">
        <v>151</v>
      </c>
      <c r="L15" s="19" t="s">
        <v>216</v>
      </c>
      <c r="M15" s="19" t="s">
        <v>296</v>
      </c>
      <c r="N15" s="21">
        <v>3.0</v>
      </c>
      <c r="O15" s="21">
        <v>3.0</v>
      </c>
      <c r="P15" s="19" t="s">
        <v>297</v>
      </c>
      <c r="Q15" s="22" t="s">
        <v>298</v>
      </c>
      <c r="R15" s="19" t="s">
        <v>263</v>
      </c>
      <c r="S15" s="19" t="s">
        <v>299</v>
      </c>
      <c r="T15" s="18"/>
      <c r="U15" s="18"/>
      <c r="V15" s="18"/>
      <c r="W15" s="18"/>
      <c r="X15" s="18"/>
      <c r="Y15" s="18"/>
      <c r="Z15" s="18"/>
    </row>
    <row r="16">
      <c r="A16" s="26" t="s">
        <v>300</v>
      </c>
      <c r="B16" s="26" t="s">
        <v>14</v>
      </c>
      <c r="C16" s="26" t="s">
        <v>301</v>
      </c>
      <c r="D16" s="28"/>
      <c r="E16" s="27">
        <v>1.0</v>
      </c>
      <c r="F16" s="27">
        <v>25.292</v>
      </c>
      <c r="G16" s="27">
        <v>25.292</v>
      </c>
      <c r="H16" s="27" t="s">
        <v>214</v>
      </c>
      <c r="I16" s="26" t="s">
        <v>302</v>
      </c>
      <c r="J16" s="26" t="s">
        <v>295</v>
      </c>
      <c r="K16" s="26" t="s">
        <v>303</v>
      </c>
      <c r="L16" s="26" t="s">
        <v>304</v>
      </c>
      <c r="M16" s="26" t="s">
        <v>305</v>
      </c>
      <c r="N16" s="29">
        <v>25.292</v>
      </c>
      <c r="O16" s="29">
        <v>25.292</v>
      </c>
      <c r="P16" s="26" t="s">
        <v>224</v>
      </c>
      <c r="Q16" s="30" t="s">
        <v>306</v>
      </c>
      <c r="R16" s="26" t="s">
        <v>226</v>
      </c>
      <c r="S16" s="26" t="s">
        <v>307</v>
      </c>
      <c r="T16" s="31"/>
      <c r="U16" s="31"/>
      <c r="V16" s="31"/>
      <c r="W16" s="31"/>
      <c r="X16" s="31"/>
      <c r="Y16" s="31"/>
      <c r="Z16" s="31"/>
    </row>
    <row r="17">
      <c r="A17" s="19" t="s">
        <v>211</v>
      </c>
      <c r="B17" s="19" t="s">
        <v>17</v>
      </c>
      <c r="C17" s="19" t="s">
        <v>308</v>
      </c>
      <c r="D17" s="19" t="s">
        <v>152</v>
      </c>
      <c r="E17" s="20">
        <v>1.0</v>
      </c>
      <c r="F17" s="20">
        <v>0.1</v>
      </c>
      <c r="G17" s="20">
        <v>0.1</v>
      </c>
      <c r="H17" s="20" t="s">
        <v>214</v>
      </c>
      <c r="I17" s="19" t="s">
        <v>309</v>
      </c>
      <c r="J17" s="19" t="s">
        <v>310</v>
      </c>
      <c r="K17" s="19" t="s">
        <v>157</v>
      </c>
      <c r="L17" s="19" t="s">
        <v>216</v>
      </c>
      <c r="M17" s="23"/>
      <c r="N17" s="21">
        <v>0.1</v>
      </c>
      <c r="O17" s="21">
        <v>0.1</v>
      </c>
      <c r="P17" s="19" t="s">
        <v>297</v>
      </c>
      <c r="Q17" s="22" t="s">
        <v>311</v>
      </c>
      <c r="R17" s="19" t="s">
        <v>226</v>
      </c>
      <c r="S17" s="19" t="s">
        <v>312</v>
      </c>
      <c r="T17" s="18"/>
      <c r="U17" s="18"/>
      <c r="V17" s="18"/>
      <c r="W17" s="18"/>
      <c r="X17" s="18"/>
      <c r="Y17" s="18"/>
      <c r="Z17" s="18"/>
    </row>
    <row r="18">
      <c r="A18" s="19" t="s">
        <v>211</v>
      </c>
      <c r="B18" s="19" t="s">
        <v>13</v>
      </c>
      <c r="C18" s="19" t="s">
        <v>313</v>
      </c>
      <c r="D18" s="19" t="s">
        <v>314</v>
      </c>
      <c r="E18" s="20">
        <v>4.0</v>
      </c>
      <c r="F18" s="20">
        <v>0.2</v>
      </c>
      <c r="G18" s="20">
        <v>0.8</v>
      </c>
      <c r="H18" s="20" t="s">
        <v>214</v>
      </c>
      <c r="I18" s="19" t="s">
        <v>315</v>
      </c>
      <c r="J18" s="19" t="s">
        <v>316</v>
      </c>
      <c r="K18" s="19" t="s">
        <v>163</v>
      </c>
      <c r="L18" s="19" t="s">
        <v>216</v>
      </c>
      <c r="M18" s="23"/>
      <c r="N18" s="21">
        <v>0.2</v>
      </c>
      <c r="O18" s="21">
        <v>0.8</v>
      </c>
      <c r="P18" s="19" t="s">
        <v>297</v>
      </c>
      <c r="Q18" s="22" t="s">
        <v>317</v>
      </c>
      <c r="R18" s="19" t="s">
        <v>226</v>
      </c>
      <c r="S18" s="19" t="s">
        <v>318</v>
      </c>
      <c r="T18" s="18"/>
      <c r="U18" s="18"/>
      <c r="V18" s="18"/>
      <c r="W18" s="18"/>
      <c r="X18" s="18"/>
      <c r="Y18" s="18"/>
      <c r="Z18" s="18"/>
    </row>
    <row r="19">
      <c r="A19" s="19" t="s">
        <v>211</v>
      </c>
      <c r="B19" s="19" t="s">
        <v>12</v>
      </c>
      <c r="C19" s="19" t="s">
        <v>170</v>
      </c>
      <c r="D19" s="19" t="s">
        <v>167</v>
      </c>
      <c r="E19" s="20">
        <v>1.0</v>
      </c>
      <c r="F19" s="20">
        <v>0.02</v>
      </c>
      <c r="G19" s="20">
        <v>0.02</v>
      </c>
      <c r="H19" s="20" t="s">
        <v>214</v>
      </c>
      <c r="I19" s="19" t="s">
        <v>319</v>
      </c>
      <c r="J19" s="19" t="s">
        <v>320</v>
      </c>
      <c r="K19" s="19" t="s">
        <v>172</v>
      </c>
      <c r="L19" s="19" t="s">
        <v>216</v>
      </c>
      <c r="M19" s="23"/>
      <c r="N19" s="21">
        <v>0.02</v>
      </c>
      <c r="O19" s="21">
        <v>0.02</v>
      </c>
      <c r="P19" s="19" t="s">
        <v>297</v>
      </c>
      <c r="Q19" s="22" t="s">
        <v>321</v>
      </c>
      <c r="R19" s="19" t="s">
        <v>226</v>
      </c>
      <c r="S19" s="19" t="s">
        <v>322</v>
      </c>
      <c r="T19" s="18"/>
      <c r="U19" s="18"/>
      <c r="V19" s="18"/>
      <c r="W19" s="18"/>
      <c r="X19" s="18"/>
      <c r="Y19" s="18"/>
      <c r="Z19" s="18"/>
    </row>
    <row r="20">
      <c r="A20" s="32" t="s">
        <v>300</v>
      </c>
      <c r="B20" s="32" t="s">
        <v>323</v>
      </c>
      <c r="C20" s="32" t="s">
        <v>324</v>
      </c>
      <c r="D20" s="33"/>
      <c r="E20" s="34">
        <v>1.0</v>
      </c>
      <c r="F20" s="34">
        <v>250.0</v>
      </c>
      <c r="G20" s="34">
        <v>250.0</v>
      </c>
      <c r="H20" s="34" t="s">
        <v>214</v>
      </c>
      <c r="I20" s="32" t="s">
        <v>325</v>
      </c>
      <c r="J20" s="32" t="s">
        <v>326</v>
      </c>
      <c r="K20" s="32" t="s">
        <v>327</v>
      </c>
      <c r="L20" s="32" t="s">
        <v>304</v>
      </c>
      <c r="M20" s="32" t="s">
        <v>328</v>
      </c>
      <c r="N20" s="35">
        <v>2250.0</v>
      </c>
      <c r="O20" s="35">
        <v>2250.0</v>
      </c>
      <c r="P20" s="32" t="s">
        <v>297</v>
      </c>
      <c r="Q20" s="33"/>
      <c r="R20" s="32" t="s">
        <v>329</v>
      </c>
      <c r="S20" s="32" t="s">
        <v>330</v>
      </c>
    </row>
    <row r="21">
      <c r="A21" s="32" t="s">
        <v>300</v>
      </c>
      <c r="B21" s="32" t="s">
        <v>331</v>
      </c>
      <c r="C21" s="32" t="s">
        <v>332</v>
      </c>
      <c r="D21" s="33"/>
      <c r="E21" s="34">
        <v>1.0</v>
      </c>
      <c r="F21" s="34">
        <v>12.0</v>
      </c>
      <c r="G21" s="34">
        <v>12.0</v>
      </c>
      <c r="H21" s="34" t="s">
        <v>214</v>
      </c>
      <c r="I21" s="32" t="s">
        <v>333</v>
      </c>
      <c r="J21" s="32" t="s">
        <v>334</v>
      </c>
      <c r="K21" s="32" t="s">
        <v>335</v>
      </c>
      <c r="L21" s="32" t="s">
        <v>336</v>
      </c>
      <c r="M21" s="32" t="s">
        <v>337</v>
      </c>
      <c r="N21" s="35">
        <v>12.0</v>
      </c>
      <c r="O21" s="35">
        <v>12.0</v>
      </c>
      <c r="P21" s="32" t="s">
        <v>297</v>
      </c>
      <c r="Q21" s="33"/>
      <c r="R21" s="32" t="s">
        <v>329</v>
      </c>
      <c r="S21" s="32" t="s">
        <v>330</v>
      </c>
    </row>
    <row r="22">
      <c r="A22" s="32" t="s">
        <v>300</v>
      </c>
      <c r="B22" s="32" t="s">
        <v>331</v>
      </c>
      <c r="C22" s="32" t="s">
        <v>338</v>
      </c>
      <c r="D22" s="33"/>
      <c r="E22" s="34">
        <v>1.0</v>
      </c>
      <c r="F22" s="34">
        <v>34.0</v>
      </c>
      <c r="G22" s="34">
        <v>34.0</v>
      </c>
      <c r="H22" s="34" t="s">
        <v>214</v>
      </c>
      <c r="I22" s="32" t="s">
        <v>339</v>
      </c>
      <c r="J22" s="32" t="s">
        <v>334</v>
      </c>
      <c r="K22" s="32" t="s">
        <v>340</v>
      </c>
      <c r="L22" s="32" t="s">
        <v>304</v>
      </c>
      <c r="M22" s="32" t="s">
        <v>328</v>
      </c>
      <c r="N22" s="35">
        <v>34.0</v>
      </c>
      <c r="O22" s="35">
        <v>34.0</v>
      </c>
      <c r="P22" s="32" t="s">
        <v>297</v>
      </c>
      <c r="Q22" s="33"/>
      <c r="R22" s="32" t="s">
        <v>329</v>
      </c>
      <c r="S22" s="32" t="s">
        <v>341</v>
      </c>
    </row>
    <row r="23">
      <c r="A23" s="32" t="s">
        <v>300</v>
      </c>
      <c r="B23" s="32" t="s">
        <v>342</v>
      </c>
      <c r="C23" s="32" t="s">
        <v>343</v>
      </c>
      <c r="D23" s="33"/>
      <c r="E23" s="34">
        <v>2.0</v>
      </c>
      <c r="F23" s="34">
        <v>0.57</v>
      </c>
      <c r="G23" s="34">
        <v>1.14</v>
      </c>
      <c r="H23" s="34" t="s">
        <v>214</v>
      </c>
      <c r="I23" s="32" t="s">
        <v>344</v>
      </c>
      <c r="J23" s="32" t="s">
        <v>345</v>
      </c>
      <c r="K23" s="32" t="s">
        <v>346</v>
      </c>
      <c r="L23" s="32" t="s">
        <v>336</v>
      </c>
      <c r="M23" s="32" t="s">
        <v>337</v>
      </c>
      <c r="N23" s="35">
        <v>0.57</v>
      </c>
      <c r="O23" s="35">
        <v>1.14</v>
      </c>
      <c r="P23" s="32" t="s">
        <v>297</v>
      </c>
      <c r="Q23" s="33"/>
      <c r="R23" s="33"/>
      <c r="S23" s="33"/>
    </row>
    <row r="24">
      <c r="A24" s="32" t="s">
        <v>300</v>
      </c>
      <c r="B24" s="32" t="s">
        <v>347</v>
      </c>
      <c r="C24" s="32" t="s">
        <v>348</v>
      </c>
      <c r="D24" s="33"/>
      <c r="E24" s="34">
        <v>1.0</v>
      </c>
      <c r="F24" s="36">
        <v>165.0</v>
      </c>
      <c r="G24" s="36">
        <v>165.0</v>
      </c>
      <c r="H24" s="36" t="s">
        <v>214</v>
      </c>
      <c r="I24" s="32" t="s">
        <v>349</v>
      </c>
      <c r="J24" s="32" t="s">
        <v>350</v>
      </c>
      <c r="K24" s="32" t="s">
        <v>351</v>
      </c>
      <c r="L24" s="32" t="s">
        <v>304</v>
      </c>
      <c r="M24" s="32" t="s">
        <v>328</v>
      </c>
      <c r="N24" s="35">
        <v>165.0</v>
      </c>
      <c r="O24" s="35">
        <v>165.0</v>
      </c>
      <c r="P24" s="32" t="s">
        <v>297</v>
      </c>
      <c r="Q24" s="33"/>
      <c r="R24" s="33"/>
      <c r="S24" s="33"/>
    </row>
    <row r="25">
      <c r="A25" s="32" t="s">
        <v>300</v>
      </c>
      <c r="B25" s="32" t="s">
        <v>13</v>
      </c>
      <c r="C25" s="32" t="s">
        <v>352</v>
      </c>
      <c r="D25" s="37"/>
      <c r="E25" s="34">
        <v>2.0</v>
      </c>
      <c r="F25" s="34">
        <v>0.15</v>
      </c>
      <c r="G25" s="34">
        <v>0.3</v>
      </c>
      <c r="H25" s="34" t="s">
        <v>214</v>
      </c>
      <c r="I25" s="32" t="s">
        <v>353</v>
      </c>
      <c r="J25" s="32" t="s">
        <v>316</v>
      </c>
      <c r="K25" s="32" t="s">
        <v>163</v>
      </c>
      <c r="L25" s="32" t="s">
        <v>336</v>
      </c>
      <c r="M25" s="32" t="s">
        <v>337</v>
      </c>
      <c r="N25" s="35">
        <v>0.15</v>
      </c>
      <c r="O25" s="35">
        <v>0.3</v>
      </c>
      <c r="P25" s="32" t="s">
        <v>297</v>
      </c>
      <c r="Q25" s="33"/>
      <c r="R25" s="33"/>
      <c r="S25" s="33"/>
    </row>
    <row r="26">
      <c r="A26" s="32" t="s">
        <v>300</v>
      </c>
      <c r="B26" s="38" t="s">
        <v>331</v>
      </c>
      <c r="C26" s="39" t="s">
        <v>354</v>
      </c>
      <c r="D26" s="37"/>
      <c r="E26" s="34">
        <v>15.0</v>
      </c>
      <c r="F26" s="34">
        <v>0.22</v>
      </c>
      <c r="G26" s="34">
        <v>3.4</v>
      </c>
      <c r="H26" s="34" t="s">
        <v>214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>
      <c r="A27" s="40" t="s">
        <v>300</v>
      </c>
      <c r="B27" s="40" t="s">
        <v>14</v>
      </c>
      <c r="C27" s="40" t="s">
        <v>355</v>
      </c>
      <c r="D27" s="41"/>
      <c r="E27" s="42">
        <v>1.0</v>
      </c>
      <c r="F27" s="42">
        <v>30.0</v>
      </c>
      <c r="G27" s="42">
        <v>30.0</v>
      </c>
      <c r="H27" s="42" t="s">
        <v>214</v>
      </c>
      <c r="I27" s="18"/>
      <c r="J27" s="18"/>
      <c r="O27" s="35">
        <v>2526.8363</v>
      </c>
      <c r="P27" s="33"/>
      <c r="Q27" s="33"/>
      <c r="R27" s="33"/>
      <c r="S27" s="33"/>
    </row>
    <row r="28">
      <c r="O28" s="33"/>
      <c r="P28" s="33"/>
      <c r="Q28" s="33"/>
      <c r="R28" s="33"/>
      <c r="S28" s="33"/>
    </row>
    <row r="29">
      <c r="O29" s="33"/>
      <c r="P29" s="33"/>
      <c r="Q29" s="33"/>
      <c r="R29" s="33"/>
      <c r="S29" s="33"/>
    </row>
    <row r="30">
      <c r="O30" s="33"/>
      <c r="P30" s="33"/>
      <c r="Q30" s="33"/>
      <c r="R30" s="33"/>
      <c r="S30" s="33"/>
    </row>
    <row r="31">
      <c r="A31" s="33"/>
      <c r="B31" s="33"/>
      <c r="C31" s="33"/>
      <c r="D31" s="33"/>
      <c r="E31" s="33"/>
      <c r="F31" s="32" t="s">
        <v>356</v>
      </c>
      <c r="G31" s="35">
        <f>SUM(G2:G27)</f>
        <v>582.5283</v>
      </c>
      <c r="H31" s="33"/>
      <c r="I31" s="33"/>
      <c r="J31" s="33"/>
      <c r="K31" s="33"/>
      <c r="L31" s="33"/>
      <c r="M31" s="33"/>
      <c r="N31" s="32" t="s">
        <v>356</v>
      </c>
      <c r="O31" s="33"/>
      <c r="P31" s="33"/>
      <c r="Q31" s="33"/>
      <c r="R31" s="33"/>
      <c r="S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>
      <c r="A33" s="32" t="s">
        <v>357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>
      <c r="A34" s="32">
        <v>1.0</v>
      </c>
      <c r="B34" s="32" t="s">
        <v>358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>
      <c r="A35" s="32">
        <v>2.0</v>
      </c>
      <c r="B35" s="32" t="s">
        <v>359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>
      <c r="A36" s="32">
        <v>3.0</v>
      </c>
      <c r="B36" s="32" t="s">
        <v>360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>
      <c r="A37" s="32">
        <v>3.0</v>
      </c>
      <c r="B37" s="32" t="s">
        <v>360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2"/>
    <hyperlink r:id="rId11" ref="Q13"/>
    <hyperlink r:id="rId12" ref="Q14"/>
    <hyperlink r:id="rId13" ref="Q15"/>
    <hyperlink r:id="rId14" ref="Q16"/>
    <hyperlink r:id="rId15" ref="Q17"/>
    <hyperlink r:id="rId16" ref="Q18"/>
    <hyperlink r:id="rId17" ref="Q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4" width="24.0"/>
    <col customWidth="1" min="5" max="5" width="8.0"/>
    <col customWidth="1" min="6" max="6" width="15.0"/>
    <col customWidth="1" min="7" max="7" width="13.0"/>
    <col customWidth="1" min="8" max="8" width="8.0"/>
    <col customWidth="1" min="9" max="9" width="33.0"/>
    <col customWidth="1" min="10" max="10" width="22.0"/>
    <col customWidth="1" min="11" max="11" width="36.0"/>
    <col customWidth="1" min="12" max="12" width="18.0"/>
    <col customWidth="1" min="13" max="13" width="30.0"/>
    <col customWidth="1" min="14" max="26" width="8.71"/>
  </cols>
  <sheetData>
    <row r="1" ht="25.5" customHeight="1">
      <c r="A1" s="43" t="s">
        <v>197</v>
      </c>
      <c r="B1" s="43" t="s">
        <v>10</v>
      </c>
      <c r="C1" s="43" t="s">
        <v>198</v>
      </c>
      <c r="D1" s="43" t="s">
        <v>199</v>
      </c>
      <c r="E1" s="43" t="s">
        <v>30</v>
      </c>
      <c r="F1" s="44" t="s">
        <v>200</v>
      </c>
      <c r="G1" s="44" t="s">
        <v>361</v>
      </c>
      <c r="H1" s="43" t="s">
        <v>202</v>
      </c>
      <c r="I1" s="43" t="s">
        <v>203</v>
      </c>
      <c r="J1" s="43" t="s">
        <v>33</v>
      </c>
      <c r="K1" s="43" t="s">
        <v>35</v>
      </c>
      <c r="L1" s="43" t="s">
        <v>204</v>
      </c>
      <c r="M1" s="43" t="s">
        <v>37</v>
      </c>
    </row>
    <row r="2" ht="33.75" customHeight="1">
      <c r="A2" s="45" t="s">
        <v>211</v>
      </c>
      <c r="B2" s="45" t="s">
        <v>18</v>
      </c>
      <c r="C2" s="45" t="s">
        <v>212</v>
      </c>
      <c r="D2" s="45" t="s">
        <v>213</v>
      </c>
      <c r="E2" s="46">
        <v>7.0</v>
      </c>
      <c r="F2" s="47" t="s">
        <v>362</v>
      </c>
      <c r="G2" s="47" t="s">
        <v>363</v>
      </c>
      <c r="H2" s="48" t="s">
        <v>214</v>
      </c>
      <c r="I2" s="45" t="s">
        <v>215</v>
      </c>
      <c r="J2" s="45" t="s">
        <v>42</v>
      </c>
      <c r="K2" s="45" t="s">
        <v>44</v>
      </c>
      <c r="L2" s="45" t="s">
        <v>216</v>
      </c>
      <c r="M2" s="45" t="s">
        <v>217</v>
      </c>
    </row>
    <row r="3" ht="33.75" customHeight="1">
      <c r="A3" s="45" t="s">
        <v>211</v>
      </c>
      <c r="B3" s="45" t="s">
        <v>12</v>
      </c>
      <c r="C3" s="45" t="s">
        <v>222</v>
      </c>
      <c r="D3" s="45" t="s">
        <v>56</v>
      </c>
      <c r="E3" s="46">
        <v>1.0</v>
      </c>
      <c r="F3" s="47">
        <v>5.0</v>
      </c>
      <c r="G3" s="49">
        <f>IF(OR(E3="",F3=""),"",E3*F3)</f>
        <v>5</v>
      </c>
      <c r="H3" s="48" t="s">
        <v>214</v>
      </c>
      <c r="I3" s="45" t="s">
        <v>223</v>
      </c>
      <c r="J3" s="45" t="s">
        <v>58</v>
      </c>
      <c r="K3" s="45" t="s">
        <v>60</v>
      </c>
      <c r="L3" s="45" t="s">
        <v>216</v>
      </c>
      <c r="M3" s="45"/>
    </row>
    <row r="4" ht="40.5" customHeight="1">
      <c r="A4" s="45" t="s">
        <v>211</v>
      </c>
      <c r="B4" s="45" t="s">
        <v>19</v>
      </c>
      <c r="C4" s="45" t="s">
        <v>228</v>
      </c>
      <c r="D4" s="45" t="s">
        <v>229</v>
      </c>
      <c r="E4" s="46">
        <v>16.0</v>
      </c>
      <c r="F4" s="47" t="s">
        <v>364</v>
      </c>
      <c r="G4" s="47" t="s">
        <v>365</v>
      </c>
      <c r="H4" s="48" t="s">
        <v>214</v>
      </c>
      <c r="I4" s="45" t="s">
        <v>230</v>
      </c>
      <c r="J4" s="45" t="s">
        <v>115</v>
      </c>
      <c r="K4" s="45" t="s">
        <v>117</v>
      </c>
      <c r="L4" s="45" t="s">
        <v>216</v>
      </c>
      <c r="M4" s="45" t="s">
        <v>231</v>
      </c>
    </row>
    <row r="5" ht="33.75" customHeight="1">
      <c r="A5" s="45" t="s">
        <v>211</v>
      </c>
      <c r="B5" s="45" t="s">
        <v>235</v>
      </c>
      <c r="C5" s="45" t="s">
        <v>236</v>
      </c>
      <c r="D5" s="45" t="s">
        <v>140</v>
      </c>
      <c r="E5" s="46">
        <v>1.0</v>
      </c>
      <c r="F5" s="47" t="s">
        <v>366</v>
      </c>
      <c r="G5" s="47" t="s">
        <v>366</v>
      </c>
      <c r="H5" s="48" t="s">
        <v>214</v>
      </c>
      <c r="I5" s="45" t="s">
        <v>237</v>
      </c>
      <c r="J5" s="45" t="s">
        <v>238</v>
      </c>
      <c r="K5" s="45" t="s">
        <v>145</v>
      </c>
      <c r="L5" s="45" t="s">
        <v>216</v>
      </c>
      <c r="M5" s="45"/>
    </row>
    <row r="6" ht="33.75" customHeight="1">
      <c r="A6" s="45" t="s">
        <v>211</v>
      </c>
      <c r="B6" s="45" t="s">
        <v>14</v>
      </c>
      <c r="C6" s="45" t="s">
        <v>241</v>
      </c>
      <c r="D6" s="45" t="s">
        <v>242</v>
      </c>
      <c r="E6" s="46">
        <v>2.0</v>
      </c>
      <c r="F6" s="47" t="s">
        <v>367</v>
      </c>
      <c r="G6" s="47" t="s">
        <v>368</v>
      </c>
      <c r="H6" s="48" t="s">
        <v>214</v>
      </c>
      <c r="I6" s="45" t="s">
        <v>243</v>
      </c>
      <c r="J6" s="45" t="s">
        <v>244</v>
      </c>
      <c r="K6" s="45" t="s">
        <v>92</v>
      </c>
      <c r="L6" s="45" t="s">
        <v>216</v>
      </c>
      <c r="M6" s="45" t="s">
        <v>245</v>
      </c>
    </row>
    <row r="7" ht="33.75" customHeight="1">
      <c r="A7" s="45" t="s">
        <v>211</v>
      </c>
      <c r="B7" s="45" t="s">
        <v>248</v>
      </c>
      <c r="C7" s="45" t="s">
        <v>249</v>
      </c>
      <c r="D7" s="45" t="s">
        <v>250</v>
      </c>
      <c r="E7" s="46">
        <v>4.0</v>
      </c>
      <c r="F7" s="50">
        <v>46143.0</v>
      </c>
      <c r="G7" s="47">
        <v>6.0</v>
      </c>
      <c r="H7" s="48" t="s">
        <v>214</v>
      </c>
      <c r="I7" s="45" t="s">
        <v>251</v>
      </c>
      <c r="J7" s="45" t="s">
        <v>63</v>
      </c>
      <c r="K7" s="45" t="s">
        <v>65</v>
      </c>
      <c r="L7" s="45" t="s">
        <v>216</v>
      </c>
      <c r="M7" s="45"/>
    </row>
    <row r="8" ht="33.75" customHeight="1">
      <c r="A8" s="45" t="s">
        <v>211</v>
      </c>
      <c r="B8" s="45" t="s">
        <v>248</v>
      </c>
      <c r="C8" s="45" t="s">
        <v>254</v>
      </c>
      <c r="D8" s="45" t="s">
        <v>81</v>
      </c>
      <c r="E8" s="46">
        <v>1.0</v>
      </c>
      <c r="F8" s="50">
        <v>46055.0</v>
      </c>
      <c r="G8" s="50">
        <v>46055.0</v>
      </c>
      <c r="H8" s="48" t="s">
        <v>214</v>
      </c>
      <c r="I8" s="45" t="s">
        <v>255</v>
      </c>
      <c r="J8" s="45" t="s">
        <v>63</v>
      </c>
      <c r="K8" s="45" t="s">
        <v>65</v>
      </c>
      <c r="L8" s="45" t="s">
        <v>216</v>
      </c>
      <c r="M8" s="45"/>
    </row>
    <row r="9" ht="33.75" customHeight="1">
      <c r="A9" s="45" t="s">
        <v>211</v>
      </c>
      <c r="B9" s="45" t="s">
        <v>248</v>
      </c>
      <c r="C9" s="45" t="s">
        <v>258</v>
      </c>
      <c r="D9" s="45" t="s">
        <v>61</v>
      </c>
      <c r="E9" s="46">
        <v>1.0</v>
      </c>
      <c r="F9" s="47" t="s">
        <v>369</v>
      </c>
      <c r="G9" s="47" t="s">
        <v>369</v>
      </c>
      <c r="H9" s="48" t="s">
        <v>214</v>
      </c>
      <c r="I9" s="45" t="s">
        <v>259</v>
      </c>
      <c r="J9" s="45" t="s">
        <v>63</v>
      </c>
      <c r="K9" s="45" t="s">
        <v>260</v>
      </c>
      <c r="L9" s="45" t="s">
        <v>216</v>
      </c>
      <c r="M9" s="45"/>
    </row>
    <row r="10" ht="33.75" customHeight="1">
      <c r="A10" s="45" t="s">
        <v>211</v>
      </c>
      <c r="B10" s="45" t="s">
        <v>265</v>
      </c>
      <c r="C10" s="45" t="s">
        <v>266</v>
      </c>
      <c r="D10" s="45" t="s">
        <v>84</v>
      </c>
      <c r="E10" s="46">
        <v>1.0</v>
      </c>
      <c r="F10" s="50">
        <v>46149.0</v>
      </c>
      <c r="G10" s="50">
        <v>46149.0</v>
      </c>
      <c r="H10" s="48" t="s">
        <v>214</v>
      </c>
      <c r="I10" s="45" t="s">
        <v>267</v>
      </c>
      <c r="J10" s="45" t="s">
        <v>268</v>
      </c>
      <c r="K10" s="45" t="s">
        <v>269</v>
      </c>
      <c r="L10" s="45" t="s">
        <v>216</v>
      </c>
      <c r="M10" s="45"/>
    </row>
    <row r="11" ht="33.75" customHeight="1">
      <c r="A11" s="45" t="s">
        <v>211</v>
      </c>
      <c r="B11" s="45" t="s">
        <v>12</v>
      </c>
      <c r="C11" s="45" t="s">
        <v>71</v>
      </c>
      <c r="D11" s="45" t="s">
        <v>68</v>
      </c>
      <c r="E11" s="46">
        <v>1.0</v>
      </c>
      <c r="F11" s="47" t="s">
        <v>370</v>
      </c>
      <c r="G11" s="47" t="s">
        <v>370</v>
      </c>
      <c r="H11" s="48" t="s">
        <v>214</v>
      </c>
      <c r="I11" s="45" t="s">
        <v>272</v>
      </c>
      <c r="J11" s="45" t="s">
        <v>273</v>
      </c>
      <c r="K11" s="45" t="s">
        <v>73</v>
      </c>
      <c r="L11" s="45" t="s">
        <v>216</v>
      </c>
      <c r="M11" s="45"/>
    </row>
    <row r="12" ht="33.75" customHeight="1">
      <c r="A12" s="45" t="s">
        <v>211</v>
      </c>
      <c r="B12" s="45" t="s">
        <v>15</v>
      </c>
      <c r="C12" s="45" t="s">
        <v>95</v>
      </c>
      <c r="D12" s="45" t="s">
        <v>277</v>
      </c>
      <c r="E12" s="46">
        <v>2.0</v>
      </c>
      <c r="F12" s="50">
        <v>46143.0</v>
      </c>
      <c r="G12" s="47">
        <v>3.0</v>
      </c>
      <c r="H12" s="48" t="s">
        <v>214</v>
      </c>
      <c r="I12" s="45" t="s">
        <v>278</v>
      </c>
      <c r="J12" s="45" t="s">
        <v>279</v>
      </c>
      <c r="K12" s="45" t="s">
        <v>97</v>
      </c>
      <c r="L12" s="45" t="s">
        <v>216</v>
      </c>
      <c r="M12" s="45"/>
    </row>
    <row r="13" ht="33.75" customHeight="1">
      <c r="A13" s="45" t="s">
        <v>211</v>
      </c>
      <c r="B13" s="45" t="s">
        <v>15</v>
      </c>
      <c r="C13" s="45" t="s">
        <v>282</v>
      </c>
      <c r="D13" s="45" t="s">
        <v>99</v>
      </c>
      <c r="E13" s="46">
        <v>1.0</v>
      </c>
      <c r="F13" s="47" t="s">
        <v>364</v>
      </c>
      <c r="G13" s="47" t="s">
        <v>364</v>
      </c>
      <c r="H13" s="48" t="s">
        <v>214</v>
      </c>
      <c r="I13" s="45" t="s">
        <v>283</v>
      </c>
      <c r="J13" s="45" t="s">
        <v>284</v>
      </c>
      <c r="K13" s="45" t="s">
        <v>104</v>
      </c>
      <c r="L13" s="45" t="s">
        <v>216</v>
      </c>
      <c r="M13" s="45"/>
    </row>
    <row r="14" ht="33.75" customHeight="1">
      <c r="A14" s="45" t="s">
        <v>211</v>
      </c>
      <c r="B14" s="45" t="s">
        <v>15</v>
      </c>
      <c r="C14" s="45" t="s">
        <v>108</v>
      </c>
      <c r="D14" s="45" t="s">
        <v>287</v>
      </c>
      <c r="E14" s="46">
        <v>2.0</v>
      </c>
      <c r="F14" s="47" t="s">
        <v>371</v>
      </c>
      <c r="G14" s="47" t="s">
        <v>372</v>
      </c>
      <c r="H14" s="48" t="s">
        <v>214</v>
      </c>
      <c r="I14" s="45" t="s">
        <v>288</v>
      </c>
      <c r="J14" s="45" t="s">
        <v>289</v>
      </c>
      <c r="K14" s="45" t="s">
        <v>110</v>
      </c>
      <c r="L14" s="45" t="s">
        <v>216</v>
      </c>
      <c r="M14" s="45"/>
    </row>
    <row r="15" ht="33.75" customHeight="1">
      <c r="A15" s="45" t="s">
        <v>211</v>
      </c>
      <c r="B15" s="45" t="s">
        <v>14</v>
      </c>
      <c r="C15" s="45" t="s">
        <v>293</v>
      </c>
      <c r="D15" s="45" t="s">
        <v>147</v>
      </c>
      <c r="E15" s="46">
        <v>1.0</v>
      </c>
      <c r="F15" s="47">
        <v>3.0</v>
      </c>
      <c r="G15" s="49">
        <f t="shared" ref="G15:G20" si="1">IF(OR(E15="",F15=""),"",E15*F15)</f>
        <v>3</v>
      </c>
      <c r="H15" s="48" t="s">
        <v>214</v>
      </c>
      <c r="I15" s="45" t="s">
        <v>294</v>
      </c>
      <c r="J15" s="45" t="s">
        <v>295</v>
      </c>
      <c r="K15" s="45" t="s">
        <v>151</v>
      </c>
      <c r="L15" s="45" t="s">
        <v>216</v>
      </c>
      <c r="M15" s="45" t="s">
        <v>296</v>
      </c>
    </row>
    <row r="16" ht="33.75" customHeight="1">
      <c r="A16" s="45" t="s">
        <v>300</v>
      </c>
      <c r="B16" s="45" t="s">
        <v>14</v>
      </c>
      <c r="C16" s="45" t="s">
        <v>373</v>
      </c>
      <c r="D16" s="45"/>
      <c r="E16" s="46">
        <v>1.0</v>
      </c>
      <c r="F16" s="47">
        <v>3.0</v>
      </c>
      <c r="G16" s="49">
        <f t="shared" si="1"/>
        <v>3</v>
      </c>
      <c r="H16" s="48" t="s">
        <v>214</v>
      </c>
      <c r="I16" s="45" t="s">
        <v>374</v>
      </c>
      <c r="J16" s="45" t="s">
        <v>295</v>
      </c>
      <c r="K16" s="45" t="s">
        <v>151</v>
      </c>
      <c r="L16" s="45" t="s">
        <v>304</v>
      </c>
      <c r="M16" s="45" t="s">
        <v>375</v>
      </c>
    </row>
    <row r="17" ht="33.75" customHeight="1">
      <c r="A17" s="45" t="s">
        <v>211</v>
      </c>
      <c r="B17" s="45" t="s">
        <v>17</v>
      </c>
      <c r="C17" s="45" t="s">
        <v>308</v>
      </c>
      <c r="D17" s="45" t="s">
        <v>152</v>
      </c>
      <c r="E17" s="46">
        <v>1.0</v>
      </c>
      <c r="F17" s="47">
        <v>0.1</v>
      </c>
      <c r="G17" s="49">
        <f t="shared" si="1"/>
        <v>0.1</v>
      </c>
      <c r="H17" s="48" t="s">
        <v>214</v>
      </c>
      <c r="I17" s="45" t="s">
        <v>309</v>
      </c>
      <c r="J17" s="45" t="s">
        <v>310</v>
      </c>
      <c r="K17" s="45" t="s">
        <v>157</v>
      </c>
      <c r="L17" s="45" t="s">
        <v>216</v>
      </c>
      <c r="M17" s="45"/>
    </row>
    <row r="18" ht="33.75" customHeight="1">
      <c r="A18" s="45" t="s">
        <v>211</v>
      </c>
      <c r="B18" s="45" t="s">
        <v>13</v>
      </c>
      <c r="C18" s="45" t="s">
        <v>313</v>
      </c>
      <c r="D18" s="45" t="s">
        <v>314</v>
      </c>
      <c r="E18" s="46">
        <v>4.0</v>
      </c>
      <c r="F18" s="47">
        <v>0.2</v>
      </c>
      <c r="G18" s="49">
        <f t="shared" si="1"/>
        <v>0.8</v>
      </c>
      <c r="H18" s="48" t="s">
        <v>214</v>
      </c>
      <c r="I18" s="45" t="s">
        <v>315</v>
      </c>
      <c r="J18" s="45" t="s">
        <v>316</v>
      </c>
      <c r="K18" s="45" t="s">
        <v>163</v>
      </c>
      <c r="L18" s="45" t="s">
        <v>216</v>
      </c>
      <c r="M18" s="45"/>
    </row>
    <row r="19" ht="33.75" customHeight="1">
      <c r="A19" s="45" t="s">
        <v>211</v>
      </c>
      <c r="B19" s="45" t="s">
        <v>12</v>
      </c>
      <c r="C19" s="45" t="s">
        <v>170</v>
      </c>
      <c r="D19" s="45" t="s">
        <v>167</v>
      </c>
      <c r="E19" s="46">
        <v>1.0</v>
      </c>
      <c r="F19" s="47">
        <v>0.02</v>
      </c>
      <c r="G19" s="49">
        <f t="shared" si="1"/>
        <v>0.02</v>
      </c>
      <c r="H19" s="48" t="s">
        <v>214</v>
      </c>
      <c r="I19" s="45" t="s">
        <v>319</v>
      </c>
      <c r="J19" s="45" t="s">
        <v>320</v>
      </c>
      <c r="K19" s="45" t="s">
        <v>172</v>
      </c>
      <c r="L19" s="45" t="s">
        <v>216</v>
      </c>
      <c r="M19" s="45"/>
    </row>
    <row r="20" ht="33.75" customHeight="1">
      <c r="A20" s="45" t="s">
        <v>300</v>
      </c>
      <c r="B20" s="45" t="s">
        <v>323</v>
      </c>
      <c r="C20" s="45" t="s">
        <v>324</v>
      </c>
      <c r="D20" s="45"/>
      <c r="E20" s="48">
        <v>1.0</v>
      </c>
      <c r="F20" s="47">
        <f>(1500+3000)/2</f>
        <v>2250</v>
      </c>
      <c r="G20" s="49">
        <f t="shared" si="1"/>
        <v>2250</v>
      </c>
      <c r="H20" s="48" t="s">
        <v>214</v>
      </c>
      <c r="I20" s="45" t="s">
        <v>376</v>
      </c>
      <c r="J20" s="45" t="s">
        <v>326</v>
      </c>
      <c r="K20" s="45" t="s">
        <v>327</v>
      </c>
      <c r="L20" s="45" t="s">
        <v>304</v>
      </c>
      <c r="M20" s="45" t="s">
        <v>377</v>
      </c>
    </row>
    <row r="21" ht="33.75" customHeight="1">
      <c r="A21" s="38" t="s">
        <v>300</v>
      </c>
      <c r="B21" s="38" t="s">
        <v>331</v>
      </c>
      <c r="C21" s="38" t="s">
        <v>332</v>
      </c>
      <c r="E21" s="51"/>
      <c r="F21" s="52">
        <v>12.0</v>
      </c>
      <c r="G21" s="52">
        <v>12.0</v>
      </c>
      <c r="H21" s="48" t="s">
        <v>214</v>
      </c>
      <c r="I21" s="38"/>
      <c r="J21" s="38" t="s">
        <v>334</v>
      </c>
      <c r="L21" s="38" t="s">
        <v>378</v>
      </c>
      <c r="M21" s="38" t="s">
        <v>379</v>
      </c>
    </row>
    <row r="22" ht="33.75" customHeight="1">
      <c r="A22" s="45" t="s">
        <v>300</v>
      </c>
      <c r="B22" s="45" t="s">
        <v>331</v>
      </c>
      <c r="C22" s="38" t="s">
        <v>338</v>
      </c>
      <c r="D22" s="45"/>
      <c r="E22" s="46">
        <v>1.0</v>
      </c>
      <c r="F22" s="53">
        <v>34.0</v>
      </c>
      <c r="G22" s="47">
        <f>E22*F22</f>
        <v>34</v>
      </c>
      <c r="H22" s="48" t="s">
        <v>214</v>
      </c>
      <c r="I22" s="45" t="s">
        <v>380</v>
      </c>
      <c r="J22" s="45" t="s">
        <v>334</v>
      </c>
      <c r="K22" s="45" t="s">
        <v>340</v>
      </c>
      <c r="L22" s="45" t="s">
        <v>304</v>
      </c>
      <c r="M22" s="45" t="s">
        <v>377</v>
      </c>
    </row>
    <row r="23" ht="15.75" customHeight="1">
      <c r="A23" s="38" t="s">
        <v>300</v>
      </c>
      <c r="B23" s="38" t="s">
        <v>342</v>
      </c>
      <c r="C23" s="38" t="s">
        <v>343</v>
      </c>
      <c r="E23" s="52">
        <v>2.0</v>
      </c>
      <c r="F23" s="52">
        <v>0.57</v>
      </c>
      <c r="G23" s="51">
        <f>0.57*2</f>
        <v>1.14</v>
      </c>
      <c r="H23" s="52" t="s">
        <v>214</v>
      </c>
      <c r="J23" s="38" t="s">
        <v>345</v>
      </c>
      <c r="L23" s="38" t="s">
        <v>336</v>
      </c>
    </row>
    <row r="24" ht="47.25" customHeight="1">
      <c r="A24" s="38" t="s">
        <v>300</v>
      </c>
      <c r="B24" s="38" t="s">
        <v>381</v>
      </c>
      <c r="F24" s="38">
        <v>25.0</v>
      </c>
      <c r="G24" s="38">
        <v>25.0</v>
      </c>
      <c r="H24" s="38" t="s">
        <v>214</v>
      </c>
      <c r="J24" s="38" t="s">
        <v>382</v>
      </c>
    </row>
    <row r="25" ht="15.75" customHeight="1">
      <c r="A25" s="45" t="s">
        <v>300</v>
      </c>
      <c r="B25" s="45" t="s">
        <v>347</v>
      </c>
      <c r="C25" s="45" t="s">
        <v>348</v>
      </c>
      <c r="D25" s="45"/>
      <c r="E25" s="46">
        <v>1.0</v>
      </c>
      <c r="F25" s="47">
        <v>165.0</v>
      </c>
      <c r="G25" s="49">
        <f>IF(OR(E25="",F25=""),"",E25*F25)</f>
        <v>165</v>
      </c>
      <c r="H25" s="48" t="s">
        <v>214</v>
      </c>
      <c r="I25" s="45" t="s">
        <v>383</v>
      </c>
      <c r="J25" s="45" t="s">
        <v>350</v>
      </c>
      <c r="K25" s="45" t="s">
        <v>351</v>
      </c>
      <c r="L25" s="45" t="s">
        <v>304</v>
      </c>
      <c r="M25" s="45" t="s">
        <v>384</v>
      </c>
    </row>
    <row r="26" ht="24.0" customHeight="1">
      <c r="A26" s="45" t="s">
        <v>300</v>
      </c>
      <c r="B26" s="54" t="s">
        <v>13</v>
      </c>
      <c r="C26" s="54" t="s">
        <v>352</v>
      </c>
      <c r="D26" s="45"/>
      <c r="E26" s="48">
        <v>2.0</v>
      </c>
      <c r="F26" s="47">
        <v>0.15</v>
      </c>
      <c r="G26" s="49">
        <f>E26*F26</f>
        <v>0.3</v>
      </c>
      <c r="H26" s="48" t="s">
        <v>214</v>
      </c>
      <c r="I26" s="45" t="s">
        <v>315</v>
      </c>
      <c r="J26" s="45" t="s">
        <v>316</v>
      </c>
      <c r="K26" s="45"/>
      <c r="L26" s="45"/>
      <c r="M26" s="45"/>
    </row>
    <row r="27" ht="24.0" customHeight="1">
      <c r="A27" s="45" t="s">
        <v>300</v>
      </c>
      <c r="B27" s="54" t="s">
        <v>385</v>
      </c>
      <c r="C27" s="45"/>
      <c r="D27" s="45"/>
      <c r="E27" s="46"/>
      <c r="I27" s="45"/>
      <c r="J27" s="45"/>
      <c r="K27" s="45"/>
      <c r="L27" s="45"/>
      <c r="M27" s="45"/>
    </row>
    <row r="28" ht="24.0" customHeight="1"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ht="24.0" customHeight="1"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F41" s="55" t="s">
        <v>386</v>
      </c>
      <c r="G41" s="55">
        <f>SUM(G2:G25)</f>
        <v>94712.06</v>
      </c>
      <c r="H41" s="56" t="s">
        <v>214</v>
      </c>
    </row>
    <row r="42" ht="15.75" customHeight="1"/>
    <row r="43" ht="15.75" customHeight="1">
      <c r="A43" s="45"/>
      <c r="B43" s="45"/>
    </row>
    <row r="44" ht="15.75" customHeight="1">
      <c r="A44" s="57" t="s">
        <v>357</v>
      </c>
      <c r="B44" s="57"/>
    </row>
    <row r="45" ht="15.75" customHeight="1">
      <c r="A45" s="45" t="s">
        <v>387</v>
      </c>
      <c r="B45" s="45" t="s">
        <v>358</v>
      </c>
    </row>
    <row r="46" ht="15.75" customHeight="1">
      <c r="A46" s="45" t="s">
        <v>388</v>
      </c>
      <c r="B46" s="45" t="s">
        <v>359</v>
      </c>
    </row>
    <row r="47" ht="15.75" customHeight="1">
      <c r="A47" s="45" t="s">
        <v>389</v>
      </c>
      <c r="B47" s="45" t="s">
        <v>360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